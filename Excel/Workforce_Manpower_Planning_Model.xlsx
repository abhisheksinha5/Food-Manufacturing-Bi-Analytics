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yrax\Desktop\DEMO PROJECT\"/>
    </mc:Choice>
  </mc:AlternateContent>
  <bookViews>
    <workbookView xWindow="0" yWindow="0" windowWidth="20490" windowHeight="7800" tabRatio="719"/>
  </bookViews>
  <sheets>
    <sheet name="Workforce_Data" sheetId="1" r:id="rId1"/>
    <sheet name="Methodology" sheetId="7" r:id="rId2"/>
    <sheet name="Benchmark_Master" sheetId="4" r:id="rId3"/>
    <sheet name="Historical_Summary" sheetId="2" r:id="rId4"/>
    <sheet name="Product_Summary" sheetId="3" r:id="rId5"/>
    <sheet name="Manpower_Calculator" sheetId="8" r:id="rId6"/>
    <sheet name="Lists" sheetId="6" state="hidden" r:id="rId7"/>
  </sheets>
  <calcPr calcId="162913"/>
</workbook>
</file>

<file path=xl/calcChain.xml><?xml version="1.0" encoding="utf-8"?>
<calcChain xmlns="http://schemas.openxmlformats.org/spreadsheetml/2006/main">
  <c r="H18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4" i="3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4" i="2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E4" i="8"/>
  <c r="E5" i="8" l="1"/>
  <c r="E6" i="8" l="1"/>
  <c r="E7" i="8" s="1"/>
</calcChain>
</file>

<file path=xl/sharedStrings.xml><?xml version="1.0" encoding="utf-8"?>
<sst xmlns="http://schemas.openxmlformats.org/spreadsheetml/2006/main" count="4243" uniqueCount="1307">
  <si>
    <t>Workforce_Record_ID</t>
  </si>
  <si>
    <t>Production_Date</t>
  </si>
  <si>
    <t>Batch_ID</t>
  </si>
  <si>
    <t>Product_ID</t>
  </si>
  <si>
    <t>Product_Name</t>
  </si>
  <si>
    <t>Production_Line</t>
  </si>
  <si>
    <t>Shift</t>
  </si>
  <si>
    <t>Operator_Team</t>
  </si>
  <si>
    <t>Shift_Hours</t>
  </si>
  <si>
    <t>Total_Workforce</t>
  </si>
  <si>
    <t>Skilled_Workers</t>
  </si>
  <si>
    <t>Unskilled_Workers</t>
  </si>
  <si>
    <t>Absent_Workers</t>
  </si>
  <si>
    <t>Present_Workers</t>
  </si>
  <si>
    <t>Overtime_Hours</t>
  </si>
  <si>
    <t>Downtime_Minutes</t>
  </si>
  <si>
    <t>Production_Hours</t>
  </si>
  <si>
    <t>Labour_Hours</t>
  </si>
  <si>
    <t>Planned_Good_Qty_Units</t>
  </si>
  <si>
    <t>Actual_Output_Units</t>
  </si>
  <si>
    <t>Rejected_Qty_Units</t>
  </si>
  <si>
    <t>Accepted_Good_Qty_Units</t>
  </si>
  <si>
    <t>Actual_Productivity</t>
  </si>
  <si>
    <t>Benchmark_Records</t>
  </si>
  <si>
    <t>Benchmark_Productivity</t>
  </si>
  <si>
    <t>Workforce_Efficiency</t>
  </si>
  <si>
    <t>Required_Labour_Hours</t>
  </si>
  <si>
    <t>Effective_Hours_Per_Worker</t>
  </si>
  <si>
    <t>Required_Workers</t>
  </si>
  <si>
    <t>Manpower_Gap</t>
  </si>
  <si>
    <t>Manpower_Status</t>
  </si>
  <si>
    <t>WF-0001</t>
  </si>
  <si>
    <t>BAT-WF-00001</t>
  </si>
  <si>
    <t>SF-P058</t>
  </si>
  <si>
    <t>Honey Ball - Variant 3</t>
  </si>
  <si>
    <t>Line-5</t>
  </si>
  <si>
    <t>Afternoon</t>
  </si>
  <si>
    <t>Team-C</t>
  </si>
  <si>
    <t>WF-0002</t>
  </si>
  <si>
    <t>BAT-WF-00002</t>
  </si>
  <si>
    <t>SF-P038</t>
  </si>
  <si>
    <t>Honey Ball - Variant 2</t>
  </si>
  <si>
    <t>Line-1</t>
  </si>
  <si>
    <t>Morning</t>
  </si>
  <si>
    <t>Team-D</t>
  </si>
  <si>
    <t>WF-0004</t>
  </si>
  <si>
    <t>BAT-WF-00004</t>
  </si>
  <si>
    <t>SF-P070</t>
  </si>
  <si>
    <t>Muesli - Variant 4</t>
  </si>
  <si>
    <t>Line-2</t>
  </si>
  <si>
    <t>Team-F</t>
  </si>
  <si>
    <t>WF-0005</t>
  </si>
  <si>
    <t>BAT-WF-00005</t>
  </si>
  <si>
    <t>SF-P099</t>
  </si>
  <si>
    <t>Crispy Bites - Variant 5</t>
  </si>
  <si>
    <t>Line-3</t>
  </si>
  <si>
    <t>WF-0003</t>
  </si>
  <si>
    <t>BAT-WF-00003</t>
  </si>
  <si>
    <t>SF-P060</t>
  </si>
  <si>
    <t>Granola - Variant 3</t>
  </si>
  <si>
    <t>WF-0008</t>
  </si>
  <si>
    <t>BAT-WF-00008</t>
  </si>
  <si>
    <t>SF-P034</t>
  </si>
  <si>
    <t>Fruit Ball - Variant 2</t>
  </si>
  <si>
    <t>WF-0007</t>
  </si>
  <si>
    <t>BAT-WF-00007</t>
  </si>
  <si>
    <t>SF-P030</t>
  </si>
  <si>
    <t>Muesli - Variant 2</t>
  </si>
  <si>
    <t>Line-4</t>
  </si>
  <si>
    <t>Team-E</t>
  </si>
  <si>
    <t>WF-0006</t>
  </si>
  <si>
    <t>BAT-WF-00006</t>
  </si>
  <si>
    <t>SF-P028</t>
  </si>
  <si>
    <t>Jumbo Oats - Variant 2</t>
  </si>
  <si>
    <t>Team-B</t>
  </si>
  <si>
    <t>WF-0009</t>
  </si>
  <si>
    <t>BAT-WF-00009</t>
  </si>
  <si>
    <t>SF-P032</t>
  </si>
  <si>
    <t>Rice Crispy - Variant 2</t>
  </si>
  <si>
    <t>Night</t>
  </si>
  <si>
    <t>WF-0010</t>
  </si>
  <si>
    <t>BAT-WF-00010</t>
  </si>
  <si>
    <t>SF-P050</t>
  </si>
  <si>
    <t>Muesli - Variant 3</t>
  </si>
  <si>
    <t>WF-0011</t>
  </si>
  <si>
    <t>BAT-WF-00011</t>
  </si>
  <si>
    <t>SF-P053</t>
  </si>
  <si>
    <t>Cocoa Rice Crispy - Variant 3</t>
  </si>
  <si>
    <t>Team-A</t>
  </si>
  <si>
    <t>WF-0013</t>
  </si>
  <si>
    <t>BAT-WF-00013</t>
  </si>
  <si>
    <t>WF-0012</t>
  </si>
  <si>
    <t>BAT-WF-00012</t>
  </si>
  <si>
    <t>WF-0014</t>
  </si>
  <si>
    <t>BAT-WF-00014</t>
  </si>
  <si>
    <t>SF-P015</t>
  </si>
  <si>
    <t>Coated Crispy Choco Balls</t>
  </si>
  <si>
    <t>WF-0015</t>
  </si>
  <si>
    <t>BAT-WF-00015</t>
  </si>
  <si>
    <t>SF-P040</t>
  </si>
  <si>
    <t>Granola - Variant 2</t>
  </si>
  <si>
    <t>WF-0016</t>
  </si>
  <si>
    <t>BAT-WF-00016</t>
  </si>
  <si>
    <t>SF-P012</t>
  </si>
  <si>
    <t>Rice Crispy</t>
  </si>
  <si>
    <t>WF-0017</t>
  </si>
  <si>
    <t>BAT-WF-00017</t>
  </si>
  <si>
    <t>SF-P081</t>
  </si>
  <si>
    <t>Corn Flakes - Variant 5</t>
  </si>
  <si>
    <t>WF-0019</t>
  </si>
  <si>
    <t>BAT-WF-00019</t>
  </si>
  <si>
    <t>SF-P048</t>
  </si>
  <si>
    <t>Jumbo Oats - Variant 3</t>
  </si>
  <si>
    <t>WF-0018</t>
  </si>
  <si>
    <t>BAT-WF-00018</t>
  </si>
  <si>
    <t>SF-P001</t>
  </si>
  <si>
    <t>Corn Flakes</t>
  </si>
  <si>
    <t>WF-0020</t>
  </si>
  <si>
    <t>BAT-WF-00020</t>
  </si>
  <si>
    <t>SF-P073</t>
  </si>
  <si>
    <t>Cocoa Rice Crispy - Variant 4</t>
  </si>
  <si>
    <t>WF-0021</t>
  </si>
  <si>
    <t>BAT-WF-00021</t>
  </si>
  <si>
    <t>SF-P003</t>
  </si>
  <si>
    <t>WF-0022</t>
  </si>
  <si>
    <t>BAT-WF-00022</t>
  </si>
  <si>
    <t>WF-0023</t>
  </si>
  <si>
    <t>BAT-WF-00023</t>
  </si>
  <si>
    <t>WF-0024</t>
  </si>
  <si>
    <t>BAT-WF-00024</t>
  </si>
  <si>
    <t>SF-P094</t>
  </si>
  <si>
    <t>Fruit Ball - Variant 5</t>
  </si>
  <si>
    <t>WF-0025</t>
  </si>
  <si>
    <t>BAT-WF-00025</t>
  </si>
  <si>
    <t>SF-P021</t>
  </si>
  <si>
    <t>Corn Flakes - Variant 2</t>
  </si>
  <si>
    <t>WF-0026</t>
  </si>
  <si>
    <t>BAT-WF-00026</t>
  </si>
  <si>
    <t>SF-P095</t>
  </si>
  <si>
    <t>Coated Crispy Choco Balls - Variant 5</t>
  </si>
  <si>
    <t>WF-0027</t>
  </si>
  <si>
    <t>BAT-WF-00027</t>
  </si>
  <si>
    <t>SF-P062</t>
  </si>
  <si>
    <t>Corn Flakes - Variant 4</t>
  </si>
  <si>
    <t>WF-0028</t>
  </si>
  <si>
    <t>BAT-WF-00028</t>
  </si>
  <si>
    <t>SF-P097</t>
  </si>
  <si>
    <t>Fruit Rings - Variant 5</t>
  </si>
  <si>
    <t>WF-0029</t>
  </si>
  <si>
    <t>BAT-WF-00029</t>
  </si>
  <si>
    <t>WF-0030</t>
  </si>
  <si>
    <t>BAT-WF-00030</t>
  </si>
  <si>
    <t>SF-P085</t>
  </si>
  <si>
    <t>Choco Flakes - Variant 5</t>
  </si>
  <si>
    <t>WF-0031</t>
  </si>
  <si>
    <t>BAT-WF-00031</t>
  </si>
  <si>
    <t>SF-P042</t>
  </si>
  <si>
    <t>Corn Flakes - Variant 3</t>
  </si>
  <si>
    <t>WF-0033</t>
  </si>
  <si>
    <t>BAT-WF-00033</t>
  </si>
  <si>
    <t>SF-P036</t>
  </si>
  <si>
    <t>Instant Breakfast Cereal - Variant 2</t>
  </si>
  <si>
    <t>WF-0032</t>
  </si>
  <si>
    <t>BAT-WF-00032</t>
  </si>
  <si>
    <t>WF-0034</t>
  </si>
  <si>
    <t>BAT-WF-00034</t>
  </si>
  <si>
    <t>SF-P076</t>
  </si>
  <si>
    <t>Instant Breakfast Cereal - Variant 4</t>
  </si>
  <si>
    <t>WF-0035</t>
  </si>
  <si>
    <t>BAT-WF-00035</t>
  </si>
  <si>
    <t>SF-P005</t>
  </si>
  <si>
    <t>Choco Flakes</t>
  </si>
  <si>
    <t>WF-0036</t>
  </si>
  <si>
    <t>BAT-WF-00036</t>
  </si>
  <si>
    <t>SF-P014</t>
  </si>
  <si>
    <t>Fruit Ball</t>
  </si>
  <si>
    <t>WF-0037</t>
  </si>
  <si>
    <t>BAT-WF-00037</t>
  </si>
  <si>
    <t>SF-P072</t>
  </si>
  <si>
    <t>Rice Crispy - Variant 4</t>
  </si>
  <si>
    <t>WF-0038</t>
  </si>
  <si>
    <t>BAT-WF-00038</t>
  </si>
  <si>
    <t>SF-P025</t>
  </si>
  <si>
    <t>Choco Flakes - Variant 2</t>
  </si>
  <si>
    <t>WF-0039</t>
  </si>
  <si>
    <t>BAT-WF-00039</t>
  </si>
  <si>
    <t>SF-P010</t>
  </si>
  <si>
    <t>Muesli</t>
  </si>
  <si>
    <t>WF-0043</t>
  </si>
  <si>
    <t>BAT-WF-00043</t>
  </si>
  <si>
    <t>SF-P083</t>
  </si>
  <si>
    <t>WF-0040</t>
  </si>
  <si>
    <t>BAT-WF-00040</t>
  </si>
  <si>
    <t>SF-P023</t>
  </si>
  <si>
    <t>WF-0041</t>
  </si>
  <si>
    <t>BAT-WF-00041</t>
  </si>
  <si>
    <t>WF-0042</t>
  </si>
  <si>
    <t>BAT-WF-00042</t>
  </si>
  <si>
    <t>SF-P090</t>
  </si>
  <si>
    <t>Muesli - Variant 5</t>
  </si>
  <si>
    <t>WF-0044</t>
  </si>
  <si>
    <t>BAT-WF-00044</t>
  </si>
  <si>
    <t>WF-0046</t>
  </si>
  <si>
    <t>BAT-WF-00046</t>
  </si>
  <si>
    <t>SF-P035</t>
  </si>
  <si>
    <t>Coated Crispy Choco Balls - Variant 2</t>
  </si>
  <si>
    <t>WF-0047</t>
  </si>
  <si>
    <t>BAT-WF-00047</t>
  </si>
  <si>
    <t>SF-P017</t>
  </si>
  <si>
    <t>Fruit Rings</t>
  </si>
  <si>
    <t>WF-0045</t>
  </si>
  <si>
    <t>BAT-WF-00045</t>
  </si>
  <si>
    <t>WF-0048</t>
  </si>
  <si>
    <t>BAT-WF-00048</t>
  </si>
  <si>
    <t>WF-0049</t>
  </si>
  <si>
    <t>BAT-WF-00049</t>
  </si>
  <si>
    <t>SF-P068</t>
  </si>
  <si>
    <t>Jumbo Oats - Variant 4</t>
  </si>
  <si>
    <t>WF-0050</t>
  </si>
  <si>
    <t>BAT-WF-00050</t>
  </si>
  <si>
    <t>SF-P027</t>
  </si>
  <si>
    <t>Oats Flakes - Variant 2</t>
  </si>
  <si>
    <t>WF-0051</t>
  </si>
  <si>
    <t>BAT-WF-00051</t>
  </si>
  <si>
    <t>SF-P011</t>
  </si>
  <si>
    <t>Wheat Crispy</t>
  </si>
  <si>
    <t>WF-0053</t>
  </si>
  <si>
    <t>BAT-WF-00053</t>
  </si>
  <si>
    <t>SF-P044</t>
  </si>
  <si>
    <t>Corn Flakes With Honey - Variant 3</t>
  </si>
  <si>
    <t>WF-0052</t>
  </si>
  <si>
    <t>BAT-WF-00052</t>
  </si>
  <si>
    <t>WF-0054</t>
  </si>
  <si>
    <t>BAT-WF-00054</t>
  </si>
  <si>
    <t>WF-0055</t>
  </si>
  <si>
    <t>BAT-WF-00055</t>
  </si>
  <si>
    <t>SF-P092</t>
  </si>
  <si>
    <t>Rice Crispy - Variant 5</t>
  </si>
  <si>
    <t>WF-0056</t>
  </si>
  <si>
    <t>BAT-WF-00056</t>
  </si>
  <si>
    <t>WF-0057</t>
  </si>
  <si>
    <t>BAT-WF-00057</t>
  </si>
  <si>
    <t>WF-0058</t>
  </si>
  <si>
    <t>BAT-WF-00058</t>
  </si>
  <si>
    <t>WF-0060</t>
  </si>
  <si>
    <t>BAT-WF-00060</t>
  </si>
  <si>
    <t>WF-0059</t>
  </si>
  <si>
    <t>BAT-WF-00059</t>
  </si>
  <si>
    <t>SF-P096</t>
  </si>
  <si>
    <t>Instant Breakfast Cereal - Variant 5</t>
  </si>
  <si>
    <t>WF-0062</t>
  </si>
  <si>
    <t>BAT-WF-00062</t>
  </si>
  <si>
    <t>WF-0061</t>
  </si>
  <si>
    <t>BAT-WF-00061</t>
  </si>
  <si>
    <t>SF-P043</t>
  </si>
  <si>
    <t>WF-0063</t>
  </si>
  <si>
    <t>BAT-WF-00063</t>
  </si>
  <si>
    <t>SF-P064</t>
  </si>
  <si>
    <t>Corn Flakes With Honey - Variant 4</t>
  </si>
  <si>
    <t>WF-0065</t>
  </si>
  <si>
    <t>BAT-WF-00065</t>
  </si>
  <si>
    <t>SF-P039</t>
  </si>
  <si>
    <t>Crispy Bites - Variant 2</t>
  </si>
  <si>
    <t>WF-0064</t>
  </si>
  <si>
    <t>BAT-WF-00064</t>
  </si>
  <si>
    <t>WF-0066</t>
  </si>
  <si>
    <t>BAT-WF-00066</t>
  </si>
  <si>
    <t>WF-0068</t>
  </si>
  <si>
    <t>BAT-WF-00068</t>
  </si>
  <si>
    <t>WF-0067</t>
  </si>
  <si>
    <t>BAT-WF-00067</t>
  </si>
  <si>
    <t>SF-P089</t>
  </si>
  <si>
    <t>Mix Fruit Muesli - Variant 5</t>
  </si>
  <si>
    <t>WF-0069</t>
  </si>
  <si>
    <t>BAT-WF-00069</t>
  </si>
  <si>
    <t>SF-P052</t>
  </si>
  <si>
    <t>Rice Crispy - Variant 3</t>
  </si>
  <si>
    <t>WF-0070</t>
  </si>
  <si>
    <t>BAT-WF-00070</t>
  </si>
  <si>
    <t>WF-0071</t>
  </si>
  <si>
    <t>BAT-WF-00071</t>
  </si>
  <si>
    <t>WF-0072</t>
  </si>
  <si>
    <t>BAT-WF-00072</t>
  </si>
  <si>
    <t>WF-0073</t>
  </si>
  <si>
    <t>BAT-WF-00073</t>
  </si>
  <si>
    <t>WF-0074</t>
  </si>
  <si>
    <t>BAT-WF-00074</t>
  </si>
  <si>
    <t>SF-P019</t>
  </si>
  <si>
    <t>Crispy Bites</t>
  </si>
  <si>
    <t>WF-0075</t>
  </si>
  <si>
    <t>BAT-WF-00075</t>
  </si>
  <si>
    <t>WF-0076</t>
  </si>
  <si>
    <t>BAT-WF-00076</t>
  </si>
  <si>
    <t>SF-P091</t>
  </si>
  <si>
    <t>Wheat Crispy - Variant 5</t>
  </si>
  <si>
    <t>WF-0077</t>
  </si>
  <si>
    <t>BAT-WF-00077</t>
  </si>
  <si>
    <t>SF-P009</t>
  </si>
  <si>
    <t>Mix Fruit Muesli</t>
  </si>
  <si>
    <t>WF-0078</t>
  </si>
  <si>
    <t>BAT-WF-00078</t>
  </si>
  <si>
    <t>WF-0079</t>
  </si>
  <si>
    <t>BAT-WF-00079</t>
  </si>
  <si>
    <t>SF-P031</t>
  </si>
  <si>
    <t>Wheat Crispy - Variant 2</t>
  </si>
  <si>
    <t>WF-0080</t>
  </si>
  <si>
    <t>BAT-WF-00080</t>
  </si>
  <si>
    <t>WF-0081</t>
  </si>
  <si>
    <t>BAT-WF-00081</t>
  </si>
  <si>
    <t>SF-P022</t>
  </si>
  <si>
    <t>WF-0082</t>
  </si>
  <si>
    <t>BAT-WF-00082</t>
  </si>
  <si>
    <t>SF-P029</t>
  </si>
  <si>
    <t>Mix Fruit Muesli - Variant 2</t>
  </si>
  <si>
    <t>WF-0083</t>
  </si>
  <si>
    <t>BAT-WF-00083</t>
  </si>
  <si>
    <t>WF-0084</t>
  </si>
  <si>
    <t>BAT-WF-00084</t>
  </si>
  <si>
    <t>WF-0085</t>
  </si>
  <si>
    <t>BAT-WF-00085</t>
  </si>
  <si>
    <t>SF-P084</t>
  </si>
  <si>
    <t>Corn Flakes With Honey - Variant 5</t>
  </si>
  <si>
    <t>WF-0087</t>
  </si>
  <si>
    <t>BAT-WF-00087</t>
  </si>
  <si>
    <t>SF-P069</t>
  </si>
  <si>
    <t>Mix Fruit Muesli - Variant 4</t>
  </si>
  <si>
    <t>WF-0086</t>
  </si>
  <si>
    <t>BAT-WF-00086</t>
  </si>
  <si>
    <t>WF-0091</t>
  </si>
  <si>
    <t>BAT-WF-00091</t>
  </si>
  <si>
    <t>WF-0088</t>
  </si>
  <si>
    <t>BAT-WF-00088</t>
  </si>
  <si>
    <t>SF-P008</t>
  </si>
  <si>
    <t>Jumbo Oats</t>
  </si>
  <si>
    <t>WF-0090</t>
  </si>
  <si>
    <t>BAT-WF-00090</t>
  </si>
  <si>
    <t>SF-P080</t>
  </si>
  <si>
    <t>Granola - Variant 4</t>
  </si>
  <si>
    <t>WF-0089</t>
  </si>
  <si>
    <t>BAT-WF-00089</t>
  </si>
  <si>
    <t>WF-0092</t>
  </si>
  <si>
    <t>BAT-WF-00092</t>
  </si>
  <si>
    <t>SF-P065</t>
  </si>
  <si>
    <t>Choco Flakes - Variant 4</t>
  </si>
  <si>
    <t>WF-0093</t>
  </si>
  <si>
    <t>BAT-WF-00093</t>
  </si>
  <si>
    <t>SF-P004</t>
  </si>
  <si>
    <t>Corn Flakes With Honey</t>
  </si>
  <si>
    <t>WF-0095</t>
  </si>
  <si>
    <t>BAT-WF-00095</t>
  </si>
  <si>
    <t>WF-0094</t>
  </si>
  <si>
    <t>BAT-WF-00094</t>
  </si>
  <si>
    <t>SF-P041</t>
  </si>
  <si>
    <t>WF-0097</t>
  </si>
  <si>
    <t>BAT-WF-00097</t>
  </si>
  <si>
    <t>SF-P013</t>
  </si>
  <si>
    <t>Cocoa Rice Crispy</t>
  </si>
  <si>
    <t>WF-0096</t>
  </si>
  <si>
    <t>BAT-WF-00096</t>
  </si>
  <si>
    <t>SF-P024</t>
  </si>
  <si>
    <t>Corn Flakes With Honey - Variant 2</t>
  </si>
  <si>
    <t>WF-0098</t>
  </si>
  <si>
    <t>BAT-WF-00098</t>
  </si>
  <si>
    <t>SF-P100</t>
  </si>
  <si>
    <t>Granola - Variant 5</t>
  </si>
  <si>
    <t>WF-0100</t>
  </si>
  <si>
    <t>BAT-WF-00100</t>
  </si>
  <si>
    <t>WF-0101</t>
  </si>
  <si>
    <t>BAT-WF-00101</t>
  </si>
  <si>
    <t>WF-0102</t>
  </si>
  <si>
    <t>BAT-WF-00102</t>
  </si>
  <si>
    <t>SF-P088</t>
  </si>
  <si>
    <t>Jumbo Oats - Variant 5</t>
  </si>
  <si>
    <t>WF-0099</t>
  </si>
  <si>
    <t>BAT-WF-00099</t>
  </si>
  <si>
    <t>WF-0104</t>
  </si>
  <si>
    <t>BAT-WF-00104</t>
  </si>
  <si>
    <t>WF-0103</t>
  </si>
  <si>
    <t>BAT-WF-00103</t>
  </si>
  <si>
    <t>WF-0105</t>
  </si>
  <si>
    <t>BAT-WF-00105</t>
  </si>
  <si>
    <t>WF-0106</t>
  </si>
  <si>
    <t>BAT-WF-00106</t>
  </si>
  <si>
    <t>WF-0108</t>
  </si>
  <si>
    <t>BAT-WF-00108</t>
  </si>
  <si>
    <t>WF-0107</t>
  </si>
  <si>
    <t>BAT-WF-00107</t>
  </si>
  <si>
    <t>WF-0109</t>
  </si>
  <si>
    <t>BAT-WF-00109</t>
  </si>
  <si>
    <t>WF-0110</t>
  </si>
  <si>
    <t>BAT-WF-00110</t>
  </si>
  <si>
    <t>WF-0111</t>
  </si>
  <si>
    <t>BAT-WF-00111</t>
  </si>
  <si>
    <t>WF-0112</t>
  </si>
  <si>
    <t>BAT-WF-00112</t>
  </si>
  <si>
    <t>SF-P063</t>
  </si>
  <si>
    <t>WF-0113</t>
  </si>
  <si>
    <t>BAT-WF-00113</t>
  </si>
  <si>
    <t>SF-P026</t>
  </si>
  <si>
    <t>Choco Pops - Variant 2</t>
  </si>
  <si>
    <t>WF-0114</t>
  </si>
  <si>
    <t>BAT-WF-00114</t>
  </si>
  <si>
    <t>SF-P098</t>
  </si>
  <si>
    <t>Honey Ball - Variant 5</t>
  </si>
  <si>
    <t>WF-0115</t>
  </si>
  <si>
    <t>BAT-WF-00115</t>
  </si>
  <si>
    <t>WF-0116</t>
  </si>
  <si>
    <t>BAT-WF-00116</t>
  </si>
  <si>
    <t>SF-P071</t>
  </si>
  <si>
    <t>Wheat Crispy - Variant 4</t>
  </si>
  <si>
    <t>WF-0118</t>
  </si>
  <si>
    <t>BAT-WF-00118</t>
  </si>
  <si>
    <t>WF-0117</t>
  </si>
  <si>
    <t>BAT-WF-00117</t>
  </si>
  <si>
    <t>WF-0119</t>
  </si>
  <si>
    <t>BAT-WF-00119</t>
  </si>
  <si>
    <t>WF-0121</t>
  </si>
  <si>
    <t>BAT-WF-00121</t>
  </si>
  <si>
    <t>WF-0120</t>
  </si>
  <si>
    <t>BAT-WF-00120</t>
  </si>
  <si>
    <t>WF-0123</t>
  </si>
  <si>
    <t>BAT-WF-00123</t>
  </si>
  <si>
    <t>WF-0124</t>
  </si>
  <si>
    <t>BAT-WF-00124</t>
  </si>
  <si>
    <t>WF-0122</t>
  </si>
  <si>
    <t>BAT-WF-00122</t>
  </si>
  <si>
    <t>WF-0125</t>
  </si>
  <si>
    <t>BAT-WF-00125</t>
  </si>
  <si>
    <t>WF-0127</t>
  </si>
  <si>
    <t>BAT-WF-00127</t>
  </si>
  <si>
    <t>WF-0126</t>
  </si>
  <si>
    <t>BAT-WF-00126</t>
  </si>
  <si>
    <t>WF-0128</t>
  </si>
  <si>
    <t>BAT-WF-00128</t>
  </si>
  <si>
    <t>WF-0129</t>
  </si>
  <si>
    <t>BAT-WF-00129</t>
  </si>
  <si>
    <t>WF-0130</t>
  </si>
  <si>
    <t>BAT-WF-00130</t>
  </si>
  <si>
    <t>WF-0132</t>
  </si>
  <si>
    <t>BAT-WF-00132</t>
  </si>
  <si>
    <t>SF-P047</t>
  </si>
  <si>
    <t>Oats Flakes - Variant 3</t>
  </si>
  <si>
    <t>WF-0133</t>
  </si>
  <si>
    <t>BAT-WF-00133</t>
  </si>
  <si>
    <t>WF-0131</t>
  </si>
  <si>
    <t>BAT-WF-00131</t>
  </si>
  <si>
    <t>WF-0134</t>
  </si>
  <si>
    <t>BAT-WF-00134</t>
  </si>
  <si>
    <t>SF-P016</t>
  </si>
  <si>
    <t>Instant Breakfast Cereal</t>
  </si>
  <si>
    <t>WF-0135</t>
  </si>
  <si>
    <t>BAT-WF-00135</t>
  </si>
  <si>
    <t>SF-P075</t>
  </si>
  <si>
    <t>Coated Crispy Choco Balls - Variant 4</t>
  </si>
  <si>
    <t>WF-0136</t>
  </si>
  <si>
    <t>BAT-WF-00136</t>
  </si>
  <si>
    <t>WF-0137</t>
  </si>
  <si>
    <t>BAT-WF-00137</t>
  </si>
  <si>
    <t>WF-0138</t>
  </si>
  <si>
    <t>BAT-WF-00138</t>
  </si>
  <si>
    <t>WF-0139</t>
  </si>
  <si>
    <t>BAT-WF-00139</t>
  </si>
  <si>
    <t>WF-0140</t>
  </si>
  <si>
    <t>BAT-WF-00140</t>
  </si>
  <si>
    <t>WF-0142</t>
  </si>
  <si>
    <t>BAT-WF-00142</t>
  </si>
  <si>
    <t>SF-P079</t>
  </si>
  <si>
    <t>Crispy Bites - Variant 4</t>
  </si>
  <si>
    <t>WF-0141</t>
  </si>
  <si>
    <t>BAT-WF-00141</t>
  </si>
  <si>
    <t>WF-0144</t>
  </si>
  <si>
    <t>BAT-WF-00144</t>
  </si>
  <si>
    <t>WF-0143</t>
  </si>
  <si>
    <t>BAT-WF-00143</t>
  </si>
  <si>
    <t>WF-0145</t>
  </si>
  <si>
    <t>BAT-WF-00145</t>
  </si>
  <si>
    <t>WF-0146</t>
  </si>
  <si>
    <t>BAT-WF-00146</t>
  </si>
  <si>
    <t>WF-0147</t>
  </si>
  <si>
    <t>BAT-WF-00147</t>
  </si>
  <si>
    <t>WF-0148</t>
  </si>
  <si>
    <t>BAT-WF-00148</t>
  </si>
  <si>
    <t>WF-0149</t>
  </si>
  <si>
    <t>BAT-WF-00149</t>
  </si>
  <si>
    <t>WF-0150</t>
  </si>
  <si>
    <t>BAT-WF-00150</t>
  </si>
  <si>
    <t>WF-0151</t>
  </si>
  <si>
    <t>BAT-WF-00151</t>
  </si>
  <si>
    <t>WF-0153</t>
  </si>
  <si>
    <t>BAT-WF-00153</t>
  </si>
  <si>
    <t>WF-0152</t>
  </si>
  <si>
    <t>BAT-WF-00152</t>
  </si>
  <si>
    <t>WF-0154</t>
  </si>
  <si>
    <t>BAT-WF-00154</t>
  </si>
  <si>
    <t>WF-0157</t>
  </si>
  <si>
    <t>BAT-WF-00157</t>
  </si>
  <si>
    <t>WF-0155</t>
  </si>
  <si>
    <t>BAT-WF-00155</t>
  </si>
  <si>
    <t>WF-0156</t>
  </si>
  <si>
    <t>BAT-WF-00156</t>
  </si>
  <si>
    <t>WF-0158</t>
  </si>
  <si>
    <t>BAT-WF-00158</t>
  </si>
  <si>
    <t>WF-0160</t>
  </si>
  <si>
    <t>BAT-WF-00160</t>
  </si>
  <si>
    <t>WF-0159</t>
  </si>
  <si>
    <t>BAT-WF-00159</t>
  </si>
  <si>
    <t>WF-0162</t>
  </si>
  <si>
    <t>BAT-WF-00162</t>
  </si>
  <si>
    <t>WF-0161</t>
  </si>
  <si>
    <t>BAT-WF-00161</t>
  </si>
  <si>
    <t>WF-0163</t>
  </si>
  <si>
    <t>BAT-WF-00163</t>
  </si>
  <si>
    <t>WF-0164</t>
  </si>
  <si>
    <t>BAT-WF-00164</t>
  </si>
  <si>
    <t>WF-0168</t>
  </si>
  <si>
    <t>BAT-WF-00168</t>
  </si>
  <si>
    <t>SF-P046</t>
  </si>
  <si>
    <t>Choco Pops - Variant 3</t>
  </si>
  <si>
    <t>WF-0167</t>
  </si>
  <si>
    <t>BAT-WF-00167</t>
  </si>
  <si>
    <t>WF-0165</t>
  </si>
  <si>
    <t>BAT-WF-00165</t>
  </si>
  <si>
    <t>SF-P051</t>
  </si>
  <si>
    <t>Wheat Crispy - Variant 3</t>
  </si>
  <si>
    <t>WF-0166</t>
  </si>
  <si>
    <t>BAT-WF-00166</t>
  </si>
  <si>
    <t>WF-0170</t>
  </si>
  <si>
    <t>BAT-WF-00170</t>
  </si>
  <si>
    <t>SF-P033</t>
  </si>
  <si>
    <t>Cocoa Rice Crispy - Variant 2</t>
  </si>
  <si>
    <t>WF-0169</t>
  </si>
  <si>
    <t>BAT-WF-00169</t>
  </si>
  <si>
    <t>WF-0171</t>
  </si>
  <si>
    <t>BAT-WF-00171</t>
  </si>
  <si>
    <t>WF-0173</t>
  </si>
  <si>
    <t>BAT-WF-00173</t>
  </si>
  <si>
    <t>WF-0172</t>
  </si>
  <si>
    <t>BAT-WF-00172</t>
  </si>
  <si>
    <t>WF-0174</t>
  </si>
  <si>
    <t>BAT-WF-00174</t>
  </si>
  <si>
    <t>WF-0175</t>
  </si>
  <si>
    <t>BAT-WF-00175</t>
  </si>
  <si>
    <t>SF-P082</t>
  </si>
  <si>
    <t>WF-0176</t>
  </si>
  <si>
    <t>BAT-WF-00176</t>
  </si>
  <si>
    <t>WF-0177</t>
  </si>
  <si>
    <t>BAT-WF-00177</t>
  </si>
  <si>
    <t>WF-0178</t>
  </si>
  <si>
    <t>BAT-WF-00178</t>
  </si>
  <si>
    <t>SF-P002</t>
  </si>
  <si>
    <t>WF-0179</t>
  </si>
  <si>
    <t>BAT-WF-00179</t>
  </si>
  <si>
    <t>WF-0180</t>
  </si>
  <si>
    <t>BAT-WF-00180</t>
  </si>
  <si>
    <t>SF-P007</t>
  </si>
  <si>
    <t>Oats Flakes</t>
  </si>
  <si>
    <t>WF-0182</t>
  </si>
  <si>
    <t>BAT-WF-00182</t>
  </si>
  <si>
    <t>SF-P061</t>
  </si>
  <si>
    <t>WF-0181</t>
  </si>
  <si>
    <t>BAT-WF-00181</t>
  </si>
  <si>
    <t>SF-P074</t>
  </si>
  <si>
    <t>Fruit Ball - Variant 4</t>
  </si>
  <si>
    <t>WF-0183</t>
  </si>
  <si>
    <t>BAT-WF-00183</t>
  </si>
  <si>
    <t>WF-0184</t>
  </si>
  <si>
    <t>BAT-WF-00184</t>
  </si>
  <si>
    <t>SF-P093</t>
  </si>
  <si>
    <t>Cocoa Rice Crispy - Variant 5</t>
  </si>
  <si>
    <t>WF-0188</t>
  </si>
  <si>
    <t>BAT-WF-00188</t>
  </si>
  <si>
    <t>WF-0187</t>
  </si>
  <si>
    <t>BAT-WF-00187</t>
  </si>
  <si>
    <t>SF-P077</t>
  </si>
  <si>
    <t>Fruit Rings - Variant 4</t>
  </si>
  <si>
    <t>WF-0186</t>
  </si>
  <si>
    <t>BAT-WF-00186</t>
  </si>
  <si>
    <t>WF-0185</t>
  </si>
  <si>
    <t>BAT-WF-00185</t>
  </si>
  <si>
    <t>WF-0189</t>
  </si>
  <si>
    <t>BAT-WF-00189</t>
  </si>
  <si>
    <t>WF-0190</t>
  </si>
  <si>
    <t>BAT-WF-00190</t>
  </si>
  <si>
    <t>WF-0191</t>
  </si>
  <si>
    <t>BAT-WF-00191</t>
  </si>
  <si>
    <t>WF-0192</t>
  </si>
  <si>
    <t>BAT-WF-00192</t>
  </si>
  <si>
    <t>WF-0195</t>
  </si>
  <si>
    <t>BAT-WF-00195</t>
  </si>
  <si>
    <t>WF-0193</t>
  </si>
  <si>
    <t>BAT-WF-00193</t>
  </si>
  <si>
    <t>WF-0194</t>
  </si>
  <si>
    <t>BAT-WF-00194</t>
  </si>
  <si>
    <t>WF-0197</t>
  </si>
  <si>
    <t>BAT-WF-00197</t>
  </si>
  <si>
    <t>WF-0196</t>
  </si>
  <si>
    <t>BAT-WF-00196</t>
  </si>
  <si>
    <t>WF-0198</t>
  </si>
  <si>
    <t>BAT-WF-00198</t>
  </si>
  <si>
    <t>SF-P045</t>
  </si>
  <si>
    <t>Choco Flakes - Variant 3</t>
  </si>
  <si>
    <t>WF-0199</t>
  </si>
  <si>
    <t>BAT-WF-00199</t>
  </si>
  <si>
    <t>WF-0200</t>
  </si>
  <si>
    <t>BAT-WF-00200</t>
  </si>
  <si>
    <t>WF-0201</t>
  </si>
  <si>
    <t>BAT-WF-00201</t>
  </si>
  <si>
    <t>WF-0202</t>
  </si>
  <si>
    <t>BAT-WF-00202</t>
  </si>
  <si>
    <t>WF-0203</t>
  </si>
  <si>
    <t>BAT-WF-00203</t>
  </si>
  <si>
    <t>WF-0204</t>
  </si>
  <si>
    <t>BAT-WF-00204</t>
  </si>
  <si>
    <t>WF-0205</t>
  </si>
  <si>
    <t>BAT-WF-00205</t>
  </si>
  <si>
    <t>WF-0206</t>
  </si>
  <si>
    <t>BAT-WF-00206</t>
  </si>
  <si>
    <t>WF-0208</t>
  </si>
  <si>
    <t>BAT-WF-00208</t>
  </si>
  <si>
    <t>WF-0207</t>
  </si>
  <si>
    <t>BAT-WF-00207</t>
  </si>
  <si>
    <t>WF-0209</t>
  </si>
  <si>
    <t>BAT-WF-00209</t>
  </si>
  <si>
    <t>WF-0210</t>
  </si>
  <si>
    <t>BAT-WF-00210</t>
  </si>
  <si>
    <t>WF-0212</t>
  </si>
  <si>
    <t>BAT-WF-00212</t>
  </si>
  <si>
    <t>WF-0211</t>
  </si>
  <si>
    <t>BAT-WF-00211</t>
  </si>
  <si>
    <t>WF-0213</t>
  </si>
  <si>
    <t>BAT-WF-00213</t>
  </si>
  <si>
    <t>WF-0215</t>
  </si>
  <si>
    <t>BAT-WF-00215</t>
  </si>
  <si>
    <t>WF-0214</t>
  </si>
  <si>
    <t>BAT-WF-00214</t>
  </si>
  <si>
    <t>WF-0216</t>
  </si>
  <si>
    <t>BAT-WF-00216</t>
  </si>
  <si>
    <t>WF-0220</t>
  </si>
  <si>
    <t>BAT-WF-00220</t>
  </si>
  <si>
    <t>WF-0219</t>
  </si>
  <si>
    <t>BAT-WF-00219</t>
  </si>
  <si>
    <t>WF-0217</t>
  </si>
  <si>
    <t>BAT-WF-00217</t>
  </si>
  <si>
    <t>WF-0218</t>
  </si>
  <si>
    <t>BAT-WF-00218</t>
  </si>
  <si>
    <t>WF-0221</t>
  </si>
  <si>
    <t>BAT-WF-00221</t>
  </si>
  <si>
    <t>WF-0223</t>
  </si>
  <si>
    <t>BAT-WF-00223</t>
  </si>
  <si>
    <t>WF-0222</t>
  </si>
  <si>
    <t>BAT-WF-00222</t>
  </si>
  <si>
    <t>WF-0224</t>
  </si>
  <si>
    <t>BAT-WF-00224</t>
  </si>
  <si>
    <t>WF-0225</t>
  </si>
  <si>
    <t>BAT-WF-00225</t>
  </si>
  <si>
    <t>WF-0226</t>
  </si>
  <si>
    <t>BAT-WF-00226</t>
  </si>
  <si>
    <t>WF-0227</t>
  </si>
  <si>
    <t>BAT-WF-00227</t>
  </si>
  <si>
    <t>WF-0229</t>
  </si>
  <si>
    <t>BAT-WF-00229</t>
  </si>
  <si>
    <t>WF-0228</t>
  </si>
  <si>
    <t>BAT-WF-00228</t>
  </si>
  <si>
    <t>WF-0230</t>
  </si>
  <si>
    <t>BAT-WF-00230</t>
  </si>
  <si>
    <t>WF-0231</t>
  </si>
  <si>
    <t>BAT-WF-00231</t>
  </si>
  <si>
    <t>SF-P086</t>
  </si>
  <si>
    <t>Choco Pops - Variant 5</t>
  </si>
  <si>
    <t>WF-0232</t>
  </si>
  <si>
    <t>BAT-WF-00232</t>
  </si>
  <si>
    <t>WF-0233</t>
  </si>
  <si>
    <t>BAT-WF-00233</t>
  </si>
  <si>
    <t>WF-0235</t>
  </si>
  <si>
    <t>BAT-WF-00235</t>
  </si>
  <si>
    <t>WF-0237</t>
  </si>
  <si>
    <t>BAT-WF-00237</t>
  </si>
  <si>
    <t>WF-0236</t>
  </si>
  <si>
    <t>BAT-WF-00236</t>
  </si>
  <si>
    <t>WF-0234</t>
  </si>
  <si>
    <t>BAT-WF-00234</t>
  </si>
  <si>
    <t>WF-0238</t>
  </si>
  <si>
    <t>BAT-WF-00238</t>
  </si>
  <si>
    <t>WF-0239</t>
  </si>
  <si>
    <t>BAT-WF-00239</t>
  </si>
  <si>
    <t>SF-P067</t>
  </si>
  <si>
    <t>Oats Flakes - Variant 4</t>
  </si>
  <si>
    <t>WF-0240</t>
  </si>
  <si>
    <t>BAT-WF-00240</t>
  </si>
  <si>
    <t>WF-0241</t>
  </si>
  <si>
    <t>BAT-WF-00241</t>
  </si>
  <si>
    <t>WF-0242</t>
  </si>
  <si>
    <t>BAT-WF-00242</t>
  </si>
  <si>
    <t>WF-0243</t>
  </si>
  <si>
    <t>BAT-WF-00243</t>
  </si>
  <si>
    <t>WF-0244</t>
  </si>
  <si>
    <t>BAT-WF-00244</t>
  </si>
  <si>
    <t>WF-0245</t>
  </si>
  <si>
    <t>BAT-WF-00245</t>
  </si>
  <si>
    <t>WF-0247</t>
  </si>
  <si>
    <t>BAT-WF-00247</t>
  </si>
  <si>
    <t>WF-0246</t>
  </si>
  <si>
    <t>BAT-WF-00246</t>
  </si>
  <si>
    <t>WF-0248</t>
  </si>
  <si>
    <t>BAT-WF-00248</t>
  </si>
  <si>
    <t>WF-0249</t>
  </si>
  <si>
    <t>BAT-WF-00249</t>
  </si>
  <si>
    <t>WF-0250</t>
  </si>
  <si>
    <t>BAT-WF-00250</t>
  </si>
  <si>
    <t>WF-0252</t>
  </si>
  <si>
    <t>BAT-WF-00252</t>
  </si>
  <si>
    <t>WF-0251</t>
  </si>
  <si>
    <t>BAT-WF-00251</t>
  </si>
  <si>
    <t>WF-0253</t>
  </si>
  <si>
    <t>BAT-WF-00253</t>
  </si>
  <si>
    <t>WF-0255</t>
  </si>
  <si>
    <t>BAT-WF-00255</t>
  </si>
  <si>
    <t>WF-0254</t>
  </si>
  <si>
    <t>BAT-WF-00254</t>
  </si>
  <si>
    <t>WF-0256</t>
  </si>
  <si>
    <t>BAT-WF-00256</t>
  </si>
  <si>
    <t>WF-0259</t>
  </si>
  <si>
    <t>BAT-WF-00259</t>
  </si>
  <si>
    <t>WF-0257</t>
  </si>
  <si>
    <t>BAT-WF-00257</t>
  </si>
  <si>
    <t>WF-0258</t>
  </si>
  <si>
    <t>BAT-WF-00258</t>
  </si>
  <si>
    <t>WF-0261</t>
  </si>
  <si>
    <t>BAT-WF-00261</t>
  </si>
  <si>
    <t>WF-0260</t>
  </si>
  <si>
    <t>BAT-WF-00260</t>
  </si>
  <si>
    <t>WF-0262</t>
  </si>
  <si>
    <t>BAT-WF-00262</t>
  </si>
  <si>
    <t>WF-0266</t>
  </si>
  <si>
    <t>BAT-WF-00266</t>
  </si>
  <si>
    <t>WF-0263</t>
  </si>
  <si>
    <t>BAT-WF-00263</t>
  </si>
  <si>
    <t>SF-P018</t>
  </si>
  <si>
    <t>Honey Ball</t>
  </si>
  <si>
    <t>WF-0264</t>
  </si>
  <si>
    <t>BAT-WF-00264</t>
  </si>
  <si>
    <t>WF-0265</t>
  </si>
  <si>
    <t>BAT-WF-00265</t>
  </si>
  <si>
    <t>WF-0267</t>
  </si>
  <si>
    <t>BAT-WF-00267</t>
  </si>
  <si>
    <t>WF-0268</t>
  </si>
  <si>
    <t>BAT-WF-00268</t>
  </si>
  <si>
    <t>WF-0269</t>
  </si>
  <si>
    <t>BAT-WF-00269</t>
  </si>
  <si>
    <t>WF-0270</t>
  </si>
  <si>
    <t>BAT-WF-00270</t>
  </si>
  <si>
    <t>SF-P057</t>
  </si>
  <si>
    <t>Fruit Rings - Variant 3</t>
  </si>
  <si>
    <t>WF-0272</t>
  </si>
  <si>
    <t>BAT-WF-00272</t>
  </si>
  <si>
    <t>WF-0271</t>
  </si>
  <si>
    <t>BAT-WF-00271</t>
  </si>
  <si>
    <t>WF-0274</t>
  </si>
  <si>
    <t>BAT-WF-00274</t>
  </si>
  <si>
    <t>WF-0273</t>
  </si>
  <si>
    <t>BAT-WF-00273</t>
  </si>
  <si>
    <t>WF-0275</t>
  </si>
  <si>
    <t>BAT-WF-00275</t>
  </si>
  <si>
    <t>WF-0278</t>
  </si>
  <si>
    <t>BAT-WF-00278</t>
  </si>
  <si>
    <t>WF-0277</t>
  </si>
  <si>
    <t>BAT-WF-00277</t>
  </si>
  <si>
    <t>SF-P078</t>
  </si>
  <si>
    <t>Honey Ball - Variant 4</t>
  </si>
  <si>
    <t>WF-0276</t>
  </si>
  <si>
    <t>BAT-WF-00276</t>
  </si>
  <si>
    <t>WF-0279</t>
  </si>
  <si>
    <t>BAT-WF-00279</t>
  </si>
  <si>
    <t>WF-0281</t>
  </si>
  <si>
    <t>BAT-WF-00281</t>
  </si>
  <si>
    <t>WF-0280</t>
  </si>
  <si>
    <t>BAT-WF-00280</t>
  </si>
  <si>
    <t>WF-0282</t>
  </si>
  <si>
    <t>BAT-WF-00282</t>
  </si>
  <si>
    <t>WF-0283</t>
  </si>
  <si>
    <t>BAT-WF-00283</t>
  </si>
  <si>
    <t>WF-0284</t>
  </si>
  <si>
    <t>BAT-WF-00284</t>
  </si>
  <si>
    <t>SF-P020</t>
  </si>
  <si>
    <t>Granola</t>
  </si>
  <si>
    <t>WF-0286</t>
  </si>
  <si>
    <t>BAT-WF-00286</t>
  </si>
  <si>
    <t>WF-0285</t>
  </si>
  <si>
    <t>BAT-WF-00285</t>
  </si>
  <si>
    <t>WF-0290</t>
  </si>
  <si>
    <t>BAT-WF-00290</t>
  </si>
  <si>
    <t>WF-0288</t>
  </si>
  <si>
    <t>BAT-WF-00288</t>
  </si>
  <si>
    <t>WF-0291</t>
  </si>
  <si>
    <t>BAT-WF-00291</t>
  </si>
  <si>
    <t>WF-0287</t>
  </si>
  <si>
    <t>BAT-WF-00287</t>
  </si>
  <si>
    <t>WF-0289</t>
  </si>
  <si>
    <t>BAT-WF-00289</t>
  </si>
  <si>
    <t>SF-P087</t>
  </si>
  <si>
    <t>Oats Flakes - Variant 5</t>
  </si>
  <si>
    <t>WF-0293</t>
  </si>
  <si>
    <t>BAT-WF-00293</t>
  </si>
  <si>
    <t>WF-0292</t>
  </si>
  <si>
    <t>BAT-WF-00292</t>
  </si>
  <si>
    <t>WF-0294</t>
  </si>
  <si>
    <t>BAT-WF-00294</t>
  </si>
  <si>
    <t>WF-0295</t>
  </si>
  <si>
    <t>BAT-WF-00295</t>
  </si>
  <si>
    <t>WF-0296</t>
  </si>
  <si>
    <t>BAT-WF-00296</t>
  </si>
  <si>
    <t>WF-0297</t>
  </si>
  <si>
    <t>BAT-WF-00297</t>
  </si>
  <si>
    <t>WF-0298</t>
  </si>
  <si>
    <t>BAT-WF-00298</t>
  </si>
  <si>
    <t>WF-0299</t>
  </si>
  <si>
    <t>BAT-WF-00299</t>
  </si>
  <si>
    <t>WF-0300</t>
  </si>
  <si>
    <t>BAT-WF-00300</t>
  </si>
  <si>
    <t>WF-0301</t>
  </si>
  <si>
    <t>BAT-WF-00301</t>
  </si>
  <si>
    <t>WF-0302</t>
  </si>
  <si>
    <t>BAT-WF-00302</t>
  </si>
  <si>
    <t>WF-0304</t>
  </si>
  <si>
    <t>BAT-WF-00304</t>
  </si>
  <si>
    <t>WF-0303</t>
  </si>
  <si>
    <t>BAT-WF-00303</t>
  </si>
  <si>
    <t>SF-P049</t>
  </si>
  <si>
    <t>Mix Fruit Muesli - Variant 3</t>
  </si>
  <si>
    <t>WF-0305</t>
  </si>
  <si>
    <t>BAT-WF-00305</t>
  </si>
  <si>
    <t>WF-0306</t>
  </si>
  <si>
    <t>BAT-WF-00306</t>
  </si>
  <si>
    <t>WF-0308</t>
  </si>
  <si>
    <t>BAT-WF-00308</t>
  </si>
  <si>
    <t>WF-0307</t>
  </si>
  <si>
    <t>BAT-WF-00307</t>
  </si>
  <si>
    <t>WF-0309</t>
  </si>
  <si>
    <t>BAT-WF-00309</t>
  </si>
  <si>
    <t>WF-0311</t>
  </si>
  <si>
    <t>BAT-WF-00311</t>
  </si>
  <si>
    <t>SF-P054</t>
  </si>
  <si>
    <t>Fruit Ball - Variant 3</t>
  </si>
  <si>
    <t>WF-0310</t>
  </si>
  <si>
    <t>BAT-WF-00310</t>
  </si>
  <si>
    <t>WF-0312</t>
  </si>
  <si>
    <t>BAT-WF-00312</t>
  </si>
  <si>
    <t>WF-0314</t>
  </si>
  <si>
    <t>BAT-WF-00314</t>
  </si>
  <si>
    <t>WF-0313</t>
  </si>
  <si>
    <t>BAT-WF-00313</t>
  </si>
  <si>
    <t>WF-0315</t>
  </si>
  <si>
    <t>BAT-WF-00315</t>
  </si>
  <si>
    <t>WF-0316</t>
  </si>
  <si>
    <t>BAT-WF-00316</t>
  </si>
  <si>
    <t>WF-0317</t>
  </si>
  <si>
    <t>BAT-WF-00317</t>
  </si>
  <si>
    <t>WF-0319</t>
  </si>
  <si>
    <t>BAT-WF-00319</t>
  </si>
  <si>
    <t>WF-0318</t>
  </si>
  <si>
    <t>BAT-WF-00318</t>
  </si>
  <si>
    <t>WF-0321</t>
  </si>
  <si>
    <t>BAT-WF-00321</t>
  </si>
  <si>
    <t>WF-0320</t>
  </si>
  <si>
    <t>BAT-WF-00320</t>
  </si>
  <si>
    <t>WF-0322</t>
  </si>
  <si>
    <t>BAT-WF-00322</t>
  </si>
  <si>
    <t>WF-0324</t>
  </si>
  <si>
    <t>BAT-WF-00324</t>
  </si>
  <si>
    <t>SF-P059</t>
  </si>
  <si>
    <t>Crispy Bites - Variant 3</t>
  </si>
  <si>
    <t>WF-0323</t>
  </si>
  <si>
    <t>BAT-WF-00323</t>
  </si>
  <si>
    <t>WF-0325</t>
  </si>
  <si>
    <t>BAT-WF-00325</t>
  </si>
  <si>
    <t>WF-0326</t>
  </si>
  <si>
    <t>BAT-WF-00326</t>
  </si>
  <si>
    <t>WF-0328</t>
  </si>
  <si>
    <t>BAT-WF-00328</t>
  </si>
  <si>
    <t>WF-0329</t>
  </si>
  <si>
    <t>BAT-WF-00329</t>
  </si>
  <si>
    <t>WF-0330</t>
  </si>
  <si>
    <t>BAT-WF-00330</t>
  </si>
  <si>
    <t>WF-0327</t>
  </si>
  <si>
    <t>BAT-WF-00327</t>
  </si>
  <si>
    <t>WF-0331</t>
  </si>
  <si>
    <t>BAT-WF-00331</t>
  </si>
  <si>
    <t>WF-0332</t>
  </si>
  <si>
    <t>BAT-WF-00332</t>
  </si>
  <si>
    <t>WF-0334</t>
  </si>
  <si>
    <t>BAT-WF-00334</t>
  </si>
  <si>
    <t>WF-0333</t>
  </si>
  <si>
    <t>BAT-WF-00333</t>
  </si>
  <si>
    <t>WF-0335</t>
  </si>
  <si>
    <t>BAT-WF-00335</t>
  </si>
  <si>
    <t>WF-0336</t>
  </si>
  <si>
    <t>BAT-WF-00336</t>
  </si>
  <si>
    <t>WF-0337</t>
  </si>
  <si>
    <t>BAT-WF-00337</t>
  </si>
  <si>
    <t>WF-0339</t>
  </si>
  <si>
    <t>BAT-WF-00339</t>
  </si>
  <si>
    <t>WF-0338</t>
  </si>
  <si>
    <t>BAT-WF-00338</t>
  </si>
  <si>
    <t>WF-0340</t>
  </si>
  <si>
    <t>BAT-WF-00340</t>
  </si>
  <si>
    <t>WF-0341</t>
  </si>
  <si>
    <t>BAT-WF-00341</t>
  </si>
  <si>
    <t>WF-0342</t>
  </si>
  <si>
    <t>BAT-WF-00342</t>
  </si>
  <si>
    <t>WF-0344</t>
  </si>
  <si>
    <t>BAT-WF-00344</t>
  </si>
  <si>
    <t>WF-0343</t>
  </si>
  <si>
    <t>BAT-WF-00343</t>
  </si>
  <si>
    <t>WF-0346</t>
  </si>
  <si>
    <t>BAT-WF-00346</t>
  </si>
  <si>
    <t>WF-0345</t>
  </si>
  <si>
    <t>BAT-WF-00345</t>
  </si>
  <si>
    <t>SF-P056</t>
  </si>
  <si>
    <t>Instant Breakfast Cereal - Variant 3</t>
  </si>
  <si>
    <t>WF-0348</t>
  </si>
  <si>
    <t>BAT-WF-00348</t>
  </si>
  <si>
    <t>WF-0347</t>
  </si>
  <si>
    <t>BAT-WF-00347</t>
  </si>
  <si>
    <t>WF-0351</t>
  </si>
  <si>
    <t>BAT-WF-00351</t>
  </si>
  <si>
    <t>WF-0352</t>
  </si>
  <si>
    <t>BAT-WF-00352</t>
  </si>
  <si>
    <t>WF-0349</t>
  </si>
  <si>
    <t>BAT-WF-00349</t>
  </si>
  <si>
    <t>WF-0350</t>
  </si>
  <si>
    <t>BAT-WF-00350</t>
  </si>
  <si>
    <t>WF-0355</t>
  </si>
  <si>
    <t>BAT-WF-00355</t>
  </si>
  <si>
    <t>WF-0353</t>
  </si>
  <si>
    <t>BAT-WF-00353</t>
  </si>
  <si>
    <t>WF-0354</t>
  </si>
  <si>
    <t>BAT-WF-00354</t>
  </si>
  <si>
    <t>WF-0356</t>
  </si>
  <si>
    <t>BAT-WF-00356</t>
  </si>
  <si>
    <t>WF-0357</t>
  </si>
  <si>
    <t>BAT-WF-00357</t>
  </si>
  <si>
    <t>WF-0358</t>
  </si>
  <si>
    <t>BAT-WF-00358</t>
  </si>
  <si>
    <t>WF-0359</t>
  </si>
  <si>
    <t>BAT-WF-00359</t>
  </si>
  <si>
    <t>WF-0360</t>
  </si>
  <si>
    <t>BAT-WF-00360</t>
  </si>
  <si>
    <t>WF-0361</t>
  </si>
  <si>
    <t>BAT-WF-00361</t>
  </si>
  <si>
    <t>WF-0362</t>
  </si>
  <si>
    <t>BAT-WF-00362</t>
  </si>
  <si>
    <t>WF-0364</t>
  </si>
  <si>
    <t>BAT-WF-00364</t>
  </si>
  <si>
    <t>SF-P066</t>
  </si>
  <si>
    <t>Choco Pops - Variant 4</t>
  </si>
  <si>
    <t>WF-0363</t>
  </si>
  <si>
    <t>BAT-WF-00363</t>
  </si>
  <si>
    <t>WF-0365</t>
  </si>
  <si>
    <t>BAT-WF-00365</t>
  </si>
  <si>
    <t>WF-0366</t>
  </si>
  <si>
    <t>BAT-WF-00366</t>
  </si>
  <si>
    <t>WF-0367</t>
  </si>
  <si>
    <t>BAT-WF-00367</t>
  </si>
  <si>
    <t>WF-0368</t>
  </si>
  <si>
    <t>BAT-WF-00368</t>
  </si>
  <si>
    <t>WF-0369</t>
  </si>
  <si>
    <t>BAT-WF-00369</t>
  </si>
  <si>
    <t>WF-0370</t>
  </si>
  <si>
    <t>BAT-WF-00370</t>
  </si>
  <si>
    <t>WF-0372</t>
  </si>
  <si>
    <t>BAT-WF-00372</t>
  </si>
  <si>
    <t>WF-0371</t>
  </si>
  <si>
    <t>BAT-WF-00371</t>
  </si>
  <si>
    <t>WF-0373</t>
  </si>
  <si>
    <t>BAT-WF-00373</t>
  </si>
  <si>
    <t>WF-0374</t>
  </si>
  <si>
    <t>BAT-WF-00374</t>
  </si>
  <si>
    <t>WF-0375</t>
  </si>
  <si>
    <t>BAT-WF-00375</t>
  </si>
  <si>
    <t>WF-0376</t>
  </si>
  <si>
    <t>BAT-WF-00376</t>
  </si>
  <si>
    <t>WF-0377</t>
  </si>
  <si>
    <t>BAT-WF-00377</t>
  </si>
  <si>
    <t>WF-0378</t>
  </si>
  <si>
    <t>BAT-WF-00378</t>
  </si>
  <si>
    <t>WF-0379</t>
  </si>
  <si>
    <t>BAT-WF-00379</t>
  </si>
  <si>
    <t>WF-0380</t>
  </si>
  <si>
    <t>BAT-WF-00380</t>
  </si>
  <si>
    <t>WF-0381</t>
  </si>
  <si>
    <t>BAT-WF-00381</t>
  </si>
  <si>
    <t>WF-0382</t>
  </si>
  <si>
    <t>BAT-WF-00382</t>
  </si>
  <si>
    <t>WF-0383</t>
  </si>
  <si>
    <t>BAT-WF-00383</t>
  </si>
  <si>
    <t>WF-0384</t>
  </si>
  <si>
    <t>BAT-WF-00384</t>
  </si>
  <si>
    <t>WF-0385</t>
  </si>
  <si>
    <t>BAT-WF-00385</t>
  </si>
  <si>
    <t>SF-P055</t>
  </si>
  <si>
    <t>Coated Crispy Choco Balls - Variant 3</t>
  </si>
  <si>
    <t>WF-0386</t>
  </si>
  <si>
    <t>BAT-WF-00386</t>
  </si>
  <si>
    <t>WF-0387</t>
  </si>
  <si>
    <t>BAT-WF-00387</t>
  </si>
  <si>
    <t>WF-0388</t>
  </si>
  <si>
    <t>BAT-WF-00388</t>
  </si>
  <si>
    <t>WF-0389</t>
  </si>
  <si>
    <t>BAT-WF-00389</t>
  </si>
  <si>
    <t>WF-0390</t>
  </si>
  <si>
    <t>BAT-WF-00390</t>
  </si>
  <si>
    <t>WF-0391</t>
  </si>
  <si>
    <t>BAT-WF-00391</t>
  </si>
  <si>
    <t>WF-0392</t>
  </si>
  <si>
    <t>BAT-WF-00392</t>
  </si>
  <si>
    <t>WF-0393</t>
  </si>
  <si>
    <t>BAT-WF-00393</t>
  </si>
  <si>
    <t>WF-0394</t>
  </si>
  <si>
    <t>BAT-WF-00394</t>
  </si>
  <si>
    <t>WF-0396</t>
  </si>
  <si>
    <t>BAT-WF-00396</t>
  </si>
  <si>
    <t>WF-0395</t>
  </si>
  <si>
    <t>BAT-WF-00395</t>
  </si>
  <si>
    <t>WF-0398</t>
  </si>
  <si>
    <t>BAT-WF-00398</t>
  </si>
  <si>
    <t>WF-0397</t>
  </si>
  <si>
    <t>BAT-WF-00397</t>
  </si>
  <si>
    <t>WF-0400</t>
  </si>
  <si>
    <t>BAT-WF-00400</t>
  </si>
  <si>
    <t>WF-0401</t>
  </si>
  <si>
    <t>BAT-WF-00401</t>
  </si>
  <si>
    <t>WF-0399</t>
  </si>
  <si>
    <t>BAT-WF-00399</t>
  </si>
  <si>
    <t>SF-P037</t>
  </si>
  <si>
    <t>Fruit Rings - Variant 2</t>
  </si>
  <si>
    <t>WF-0402</t>
  </si>
  <si>
    <t>BAT-WF-00402</t>
  </si>
  <si>
    <t>WF-0403</t>
  </si>
  <si>
    <t>BAT-WF-00403</t>
  </si>
  <si>
    <t>WF-0404</t>
  </si>
  <si>
    <t>BAT-WF-00404</t>
  </si>
  <si>
    <t>WF-0405</t>
  </si>
  <si>
    <t>BAT-WF-00405</t>
  </si>
  <si>
    <t>WF-0406</t>
  </si>
  <si>
    <t>BAT-WF-00406</t>
  </si>
  <si>
    <t>WF-0407</t>
  </si>
  <si>
    <t>BAT-WF-00407</t>
  </si>
  <si>
    <t>WF-0408</t>
  </si>
  <si>
    <t>BAT-WF-00408</t>
  </si>
  <si>
    <t>WF-0409</t>
  </si>
  <si>
    <t>BAT-WF-00409</t>
  </si>
  <si>
    <t>WF-0410</t>
  </si>
  <si>
    <t>BAT-WF-00410</t>
  </si>
  <si>
    <t>WF-0411</t>
  </si>
  <si>
    <t>BAT-WF-00411</t>
  </si>
  <si>
    <t>WF-0413</t>
  </si>
  <si>
    <t>BAT-WF-00413</t>
  </si>
  <si>
    <t>WF-0412</t>
  </si>
  <si>
    <t>BAT-WF-00412</t>
  </si>
  <si>
    <t>WF-0415</t>
  </si>
  <si>
    <t>BAT-WF-00415</t>
  </si>
  <si>
    <t>WF-0414</t>
  </si>
  <si>
    <t>BAT-WF-00414</t>
  </si>
  <si>
    <t>WF-0416</t>
  </si>
  <si>
    <t>BAT-WF-00416</t>
  </si>
  <si>
    <t>WF-0417</t>
  </si>
  <si>
    <t>BAT-WF-00417</t>
  </si>
  <si>
    <t>WF-0418</t>
  </si>
  <si>
    <t>BAT-WF-00418</t>
  </si>
  <si>
    <t>WF-0419</t>
  </si>
  <si>
    <t>BAT-WF-00419</t>
  </si>
  <si>
    <t>WF-0420</t>
  </si>
  <si>
    <t>BAT-WF-00420</t>
  </si>
  <si>
    <t>WF-0422</t>
  </si>
  <si>
    <t>BAT-WF-00422</t>
  </si>
  <si>
    <t>WF-0423</t>
  </si>
  <si>
    <t>BAT-WF-00423</t>
  </si>
  <si>
    <t>WF-0421</t>
  </si>
  <si>
    <t>BAT-WF-00421</t>
  </si>
  <si>
    <t>WF-0424</t>
  </si>
  <si>
    <t>BAT-WF-00424</t>
  </si>
  <si>
    <t>WF-0426</t>
  </si>
  <si>
    <t>BAT-WF-00426</t>
  </si>
  <si>
    <t>WF-0427</t>
  </si>
  <si>
    <t>BAT-WF-00427</t>
  </si>
  <si>
    <t>WF-0425</t>
  </si>
  <si>
    <t>BAT-WF-00425</t>
  </si>
  <si>
    <t>WF-0428</t>
  </si>
  <si>
    <t>BAT-WF-00428</t>
  </si>
  <si>
    <t>WF-0429</t>
  </si>
  <si>
    <t>BAT-WF-00429</t>
  </si>
  <si>
    <t>WF-0430</t>
  </si>
  <si>
    <t>BAT-WF-00430</t>
  </si>
  <si>
    <t>WF-0431</t>
  </si>
  <si>
    <t>BAT-WF-00431</t>
  </si>
  <si>
    <t>WF-0432</t>
  </si>
  <si>
    <t>BAT-WF-00432</t>
  </si>
  <si>
    <t>WF-0433</t>
  </si>
  <si>
    <t>BAT-WF-00433</t>
  </si>
  <si>
    <t>WF-0434</t>
  </si>
  <si>
    <t>BAT-WF-00434</t>
  </si>
  <si>
    <t>WF-0435</t>
  </si>
  <si>
    <t>BAT-WF-00435</t>
  </si>
  <si>
    <t>WF-0436</t>
  </si>
  <si>
    <t>BAT-WF-00436</t>
  </si>
  <si>
    <t>WF-0437</t>
  </si>
  <si>
    <t>BAT-WF-00437</t>
  </si>
  <si>
    <t>WF-0439</t>
  </si>
  <si>
    <t>BAT-WF-00439</t>
  </si>
  <si>
    <t>WF-0440</t>
  </si>
  <si>
    <t>BAT-WF-00440</t>
  </si>
  <si>
    <t>WF-0438</t>
  </si>
  <si>
    <t>BAT-WF-00438</t>
  </si>
  <si>
    <t>WF-0443</t>
  </si>
  <si>
    <t>BAT-WF-00443</t>
  </si>
  <si>
    <t>WF-0442</t>
  </si>
  <si>
    <t>BAT-WF-00442</t>
  </si>
  <si>
    <t>WF-0441</t>
  </si>
  <si>
    <t>BAT-WF-00441</t>
  </si>
  <si>
    <t>WF-0445</t>
  </si>
  <si>
    <t>BAT-WF-00445</t>
  </si>
  <si>
    <t>WF-0444</t>
  </si>
  <si>
    <t>BAT-WF-00444</t>
  </si>
  <si>
    <t>WF-0446</t>
  </si>
  <si>
    <t>BAT-WF-00446</t>
  </si>
  <si>
    <t>WF-0447</t>
  </si>
  <si>
    <t>BAT-WF-00447</t>
  </si>
  <si>
    <t>WF-0450</t>
  </si>
  <si>
    <t>BAT-WF-00450</t>
  </si>
  <si>
    <t>WF-0449</t>
  </si>
  <si>
    <t>BAT-WF-00449</t>
  </si>
  <si>
    <t>WF-0448</t>
  </si>
  <si>
    <t>BAT-WF-00448</t>
  </si>
  <si>
    <t>WF-0451</t>
  </si>
  <si>
    <t>BAT-WF-00451</t>
  </si>
  <si>
    <t>WF-0452</t>
  </si>
  <si>
    <t>BAT-WF-00452</t>
  </si>
  <si>
    <t>WF-0454</t>
  </si>
  <si>
    <t>BAT-WF-00454</t>
  </si>
  <si>
    <t>WF-0453</t>
  </si>
  <si>
    <t>BAT-WF-00453</t>
  </si>
  <si>
    <t>WF-0456</t>
  </si>
  <si>
    <t>BAT-WF-00456</t>
  </si>
  <si>
    <t>WF-0455</t>
  </si>
  <si>
    <t>BAT-WF-00455</t>
  </si>
  <si>
    <t>WF-0457</t>
  </si>
  <si>
    <t>BAT-WF-00457</t>
  </si>
  <si>
    <t>WF-0458</t>
  </si>
  <si>
    <t>BAT-WF-00458</t>
  </si>
  <si>
    <t>WF-0459</t>
  </si>
  <si>
    <t>BAT-WF-00459</t>
  </si>
  <si>
    <t>WF-0460</t>
  </si>
  <si>
    <t>BAT-WF-00460</t>
  </si>
  <si>
    <t>WF-0461</t>
  </si>
  <si>
    <t>BAT-WF-00461</t>
  </si>
  <si>
    <t>WF-0462</t>
  </si>
  <si>
    <t>BAT-WF-00462</t>
  </si>
  <si>
    <t>WF-0464</t>
  </si>
  <si>
    <t>BAT-WF-00464</t>
  </si>
  <si>
    <t>WF-0463</t>
  </si>
  <si>
    <t>BAT-WF-00463</t>
  </si>
  <si>
    <t>WF-0465</t>
  </si>
  <si>
    <t>BAT-WF-00465</t>
  </si>
  <si>
    <t>WF-0467</t>
  </si>
  <si>
    <t>BAT-WF-00467</t>
  </si>
  <si>
    <t>WF-0466</t>
  </si>
  <si>
    <t>BAT-WF-00466</t>
  </si>
  <si>
    <t>WF-0468</t>
  </si>
  <si>
    <t>BAT-WF-00468</t>
  </si>
  <si>
    <t>WF-0469</t>
  </si>
  <si>
    <t>BAT-WF-00469</t>
  </si>
  <si>
    <t>WF-0470</t>
  </si>
  <si>
    <t>BAT-WF-00470</t>
  </si>
  <si>
    <t>WF-0471</t>
  </si>
  <si>
    <t>BAT-WF-00471</t>
  </si>
  <si>
    <t>WF-0473</t>
  </si>
  <si>
    <t>BAT-WF-00473</t>
  </si>
  <si>
    <t>WF-0472</t>
  </si>
  <si>
    <t>BAT-WF-00472</t>
  </si>
  <si>
    <t>WF-0474</t>
  </si>
  <si>
    <t>BAT-WF-00474</t>
  </si>
  <si>
    <t>WF-0475</t>
  </si>
  <si>
    <t>BAT-WF-00475</t>
  </si>
  <si>
    <t>WF-0477</t>
  </si>
  <si>
    <t>BAT-WF-00477</t>
  </si>
  <si>
    <t>WF-0476</t>
  </si>
  <si>
    <t>BAT-WF-00476</t>
  </si>
  <si>
    <t>WF-0480</t>
  </si>
  <si>
    <t>BAT-WF-00480</t>
  </si>
  <si>
    <t>WF-0478</t>
  </si>
  <si>
    <t>BAT-WF-00478</t>
  </si>
  <si>
    <t>WF-0479</t>
  </si>
  <si>
    <t>BAT-WF-00479</t>
  </si>
  <si>
    <t>WF-0481</t>
  </si>
  <si>
    <t>BAT-WF-00481</t>
  </si>
  <si>
    <t>WF-0482</t>
  </si>
  <si>
    <t>BAT-WF-00482</t>
  </si>
  <si>
    <t>WF-0484</t>
  </si>
  <si>
    <t>BAT-WF-00484</t>
  </si>
  <si>
    <t>WF-0483</t>
  </si>
  <si>
    <t>BAT-WF-00483</t>
  </si>
  <si>
    <t>WF-0486</t>
  </si>
  <si>
    <t>BAT-WF-00486</t>
  </si>
  <si>
    <t>WF-0487</t>
  </si>
  <si>
    <t>BAT-WF-00487</t>
  </si>
  <si>
    <t>WF-0485</t>
  </si>
  <si>
    <t>BAT-WF-00485</t>
  </si>
  <si>
    <t>WF-0490</t>
  </si>
  <si>
    <t>BAT-WF-00490</t>
  </si>
  <si>
    <t>WF-0488</t>
  </si>
  <si>
    <t>BAT-WF-00488</t>
  </si>
  <si>
    <t>WF-0489</t>
  </si>
  <si>
    <t>BAT-WF-00489</t>
  </si>
  <si>
    <t>WF-0491</t>
  </si>
  <si>
    <t>BAT-WF-00491</t>
  </si>
  <si>
    <t>WF-0492</t>
  </si>
  <si>
    <t>BAT-WF-00492</t>
  </si>
  <si>
    <t>WF-0493</t>
  </si>
  <si>
    <t>BAT-WF-00493</t>
  </si>
  <si>
    <t>WF-0495</t>
  </si>
  <si>
    <t>BAT-WF-00495</t>
  </si>
  <si>
    <t>WF-0494</t>
  </si>
  <si>
    <t>BAT-WF-00494</t>
  </si>
  <si>
    <t>WF-0498</t>
  </si>
  <si>
    <t>BAT-WF-00498</t>
  </si>
  <si>
    <t>WF-0497</t>
  </si>
  <si>
    <t>BAT-WF-00497</t>
  </si>
  <si>
    <t>WF-0496</t>
  </si>
  <si>
    <t>BAT-WF-00496</t>
  </si>
  <si>
    <t>WF-0499</t>
  </si>
  <si>
    <t>BAT-WF-00499</t>
  </si>
  <si>
    <t>WF-0500</t>
  </si>
  <si>
    <t>BAT-WF-00500</t>
  </si>
  <si>
    <t>WORKFORCE EFFICIENCY — HISTORICAL SUMMARY</t>
  </si>
  <si>
    <t>Records</t>
  </si>
  <si>
    <t>Avg_Productivity</t>
  </si>
  <si>
    <t>Benchmark_P75</t>
  </si>
  <si>
    <t>Avg_Efficiency</t>
  </si>
  <si>
    <t>Avg_Present_Workers</t>
  </si>
  <si>
    <t>Avg_Required_Workers</t>
  </si>
  <si>
    <t>Avg_Gap</t>
  </si>
  <si>
    <t>Shortage_Obs</t>
  </si>
  <si>
    <t>Surplus_Obs</t>
  </si>
  <si>
    <t>PRODUCT-LEVEL WORKFORCE ANALYSIS</t>
  </si>
  <si>
    <t>Avg_Downtime_Minutes</t>
  </si>
  <si>
    <t>Key</t>
  </si>
  <si>
    <t>Line-1|Afternoon</t>
  </si>
  <si>
    <t>Line-1|Morning</t>
  </si>
  <si>
    <t>Line-1|Night</t>
  </si>
  <si>
    <t>Line-2|Afternoon</t>
  </si>
  <si>
    <t>Line-2|Morning</t>
  </si>
  <si>
    <t>Line-2|Night</t>
  </si>
  <si>
    <t>Line-3|Afternoon</t>
  </si>
  <si>
    <t>Line-3|Morning</t>
  </si>
  <si>
    <t>Line-3|Night</t>
  </si>
  <si>
    <t>Line-4|Afternoon</t>
  </si>
  <si>
    <t>Line-4|Morning</t>
  </si>
  <si>
    <t>Line-4|Night</t>
  </si>
  <si>
    <t>Line-5|Afternoon</t>
  </si>
  <si>
    <t>Line-5|Morning</t>
  </si>
  <si>
    <t>Line-5|Night</t>
  </si>
  <si>
    <t>MANPOWER PLANNING CALCULATOR</t>
  </si>
  <si>
    <t>Product ID</t>
  </si>
  <si>
    <t>Production Line</t>
  </si>
  <si>
    <t>Effective Hours / Worker</t>
  </si>
  <si>
    <t>Required Labour Hours</t>
  </si>
  <si>
    <t>Planned Good Quantity (Units)</t>
  </si>
  <si>
    <t>Shift Hours</t>
  </si>
  <si>
    <t>Planned Downtime (Minutes)</t>
  </si>
  <si>
    <t>WORKFORCE EFFICIENCY &amp; MANPOWER PLANNING — METHODOLOGY</t>
  </si>
  <si>
    <t>Metric</t>
  </si>
  <si>
    <t>Definition</t>
  </si>
  <si>
    <t>Business question</t>
  </si>
  <si>
    <t>How many workers are required to produce a planned quantity efficiently?</t>
  </si>
  <si>
    <t>Productivity</t>
  </si>
  <si>
    <t>Accepted Good Qty ÷ Labour Hours</t>
  </si>
  <si>
    <t>Benchmark</t>
  </si>
  <si>
    <t>75th percentile historical productivity by Production Line + Shift</t>
  </si>
  <si>
    <t>Workforce efficiency</t>
  </si>
  <si>
    <t>Actual Productivity ÷ Benchmark Productivity</t>
  </si>
  <si>
    <t>Effective hours</t>
  </si>
  <si>
    <t>Shift Hours − expected/observed downtime</t>
  </si>
  <si>
    <t>Required labour hours</t>
  </si>
  <si>
    <t>Planned Good Qty ÷ Benchmark Productivity</t>
  </si>
  <si>
    <t>Required workers</t>
  </si>
  <si>
    <t>Required Labour Hours ÷ Effective Hours per Worker, rounded up</t>
  </si>
  <si>
    <t>Manpower gap</t>
  </si>
  <si>
    <t>Required Workers − Present Workers</t>
  </si>
  <si>
    <t>Decision</t>
  </si>
  <si>
    <t>Positive gap = shortage; negative gap = surplus; zero = balanced</t>
  </si>
  <si>
    <t>Important</t>
  </si>
  <si>
    <t>Current dataset is synthetic/illustrative; replace with real company history before operational decisions.</t>
  </si>
  <si>
    <t>• Current data is illustrative/synthetic.</t>
  </si>
  <si>
    <t>• Available/current workers are intentionally NOT an input.</t>
  </si>
  <si>
    <t>• Required Workers = Required Labour Hours ÷ Effective Hours per Worker, rounded up.</t>
  </si>
  <si>
    <t>• Required Labour Hours = Planned Good Quantity ÷ Benchmark Productivity.</t>
  </si>
  <si>
    <t>• Benchmark = historical 75th percentile productivity for the selected Line + Shift.</t>
  </si>
  <si>
    <t>• Enter Product, Line, Shift, planned good quantity, shift hours and planned downtime.</t>
  </si>
  <si>
    <t>HOW TO USE</t>
  </si>
  <si>
    <t>Avg Downtime Minutes</t>
  </si>
  <si>
    <t>Benchmark Productivity</t>
  </si>
  <si>
    <t>BENCHMARK DATA — LINE + SHIFT</t>
  </si>
  <si>
    <t>REQUIRED WORKERS</t>
  </si>
  <si>
    <t>Benchmark Productivity (Units/Labour-Hour)</t>
  </si>
  <si>
    <t>CALCULATED OUTPUT</t>
  </si>
  <si>
    <t>INPUTS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</si>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</sst>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yy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  <family val="2"/>
    </font>
    <font>
      <b/>
      <sz val="14"/>
      <color rgb="FFFFFFFF"/>
      <name val="Calibri"/>
      <family val="2"/>
    </font>
    <font>
      <b/>
      <sz val="18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/>
    <xf numFmtId="0" fontId="0" fillId="4" borderId="0" xfId="0" applyFill="1"/>
    <xf numFmtId="0" fontId="1" fillId="2" borderId="0" xfId="0" applyFont="1" applyFill="1" applyAlignment="1"/>
    <xf numFmtId="0" fontId="0" fillId="0" borderId="0" xfId="0" applyAlignment="1"/>
    <xf numFmtId="0" fontId="0" fillId="4" borderId="0" xfId="0" applyFill="1" applyAlignment="1"/>
    <xf numFmtId="0" fontId="1" fillId="5" borderId="0" xfId="0" applyFont="1" applyFill="1"/>
    <xf numFmtId="0" fontId="1" fillId="6" borderId="0" xfId="0" applyFon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7" fillId="2" borderId="0" xfId="0" applyFont="1" applyFill="1"/>
    <xf numFmtId="0" fontId="0" fillId="0" borderId="0" xfId="0" applyAlignment="1">
      <alignment horizontal="center"/>
    </xf>
    <xf numFmtId="0" fontId="0" fillId="5" borderId="0" xfId="0" applyFill="1"/>
    <xf numFmtId="0" fontId="6" fillId="5" borderId="0" xfId="0" applyFont="1" applyFill="1"/>
    <xf numFmtId="0" fontId="0" fillId="7" borderId="1" xfId="0" applyFont="1" applyFill="1" applyBorder="1"/>
    <xf numFmtId="0" fontId="0" fillId="7" borderId="5" xfId="0" applyFont="1" applyFill="1" applyBorder="1"/>
    <xf numFmtId="0" fontId="0" fillId="7" borderId="2" xfId="0" applyFont="1" applyFill="1" applyBorder="1"/>
    <xf numFmtId="0" fontId="0" fillId="8" borderId="1" xfId="0" applyFont="1" applyFill="1" applyBorder="1"/>
    <xf numFmtId="0" fontId="0" fillId="8" borderId="5" xfId="0" applyFont="1" applyFill="1" applyBorder="1"/>
    <xf numFmtId="0" fontId="0" fillId="8" borderId="2" xfId="0" applyFont="1" applyFill="1" applyBorder="1"/>
    <xf numFmtId="0" fontId="0" fillId="7" borderId="3" xfId="0" applyFont="1" applyFill="1" applyBorder="1"/>
    <xf numFmtId="0" fontId="0" fillId="7" borderId="6" xfId="0" applyFont="1" applyFill="1" applyBorder="1"/>
    <xf numFmtId="0" fontId="0" fillId="7" borderId="4" xfId="0" applyFont="1" applyFill="1" applyBorder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/>
    <xf numFmtId="0" fontId="8" fillId="2" borderId="0" xfId="0" applyFont="1" applyFill="1" applyAlignment="1">
      <alignment horizontal="center"/>
    </xf>
    <xf numFmtId="0" fontId="7" fillId="2" borderId="0" xfId="0" applyFon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6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</dxf>
    <dxf>
      <numFmt numFmtId="166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orkforceData" displayName="WorkforceData" ref="A1:AE501">
  <autoFilter ref="A1:AE501"/>
  <tableColumns count="31">
    <tableColumn id="1" name="Workforce_Record_ID"/>
    <tableColumn id="2" name="Production_Date"/>
    <tableColumn id="3" name="Batch_ID"/>
    <tableColumn id="4" name="Product_ID"/>
    <tableColumn id="5" name="Product_Name"/>
    <tableColumn id="6" name="Production_Line"/>
    <tableColumn id="7" name="Shift"/>
    <tableColumn id="8" name="Operator_Team"/>
    <tableColumn id="9" name="Shift_Hours"/>
    <tableColumn id="10" name="Total_Workforce"/>
    <tableColumn id="11" name="Skilled_Workers"/>
    <tableColumn id="12" name="Unskilled_Workers"/>
    <tableColumn id="13" name="Absent_Workers"/>
    <tableColumn id="14" name="Present_Workers"/>
    <tableColumn id="15" name="Overtime_Hours"/>
    <tableColumn id="16" name="Downtime_Minutes"/>
    <tableColumn id="17" name="Production_Hours"/>
    <tableColumn id="18" name="Labour_Hours"/>
    <tableColumn id="19" name="Planned_Good_Qty_Units"/>
    <tableColumn id="20" name="Actual_Output_Units"/>
    <tableColumn id="21" name="Rejected_Qty_Units"/>
    <tableColumn id="22" name="Accepted_Good_Qty_Units"/>
    <tableColumn id="23" name="Actual_Productivity">
      <calculatedColumnFormula>IFERROR(V2/R2,0)</calculatedColumnFormula>
    </tableColumn>
    <tableColumn id="24" name="Benchmark_Records"/>
    <tableColumn id="25" name="Benchmark_Productivity"/>
    <tableColumn id="26" name="Workforce_Efficiency">
      <calculatedColumnFormula>IFERROR(W2/Y2,0)</calculatedColumnFormula>
    </tableColumn>
    <tableColumn id="27" name="Required_Labour_Hours">
      <calculatedColumnFormula>IFERROR(S2/Y2,0)</calculatedColumnFormula>
    </tableColumn>
    <tableColumn id="28" name="Effective_Hours_Per_Worker">
      <calculatedColumnFormula>MAX(0.1,I2-(P2/60))</calculatedColumnFormula>
    </tableColumn>
    <tableColumn id="29" name="Required_Workers">
      <calculatedColumnFormula>IFERROR(CEILING(AA2/AB2,1),0)</calculatedColumnFormula>
    </tableColumn>
    <tableColumn id="30" name="Manpower_Gap">
      <calculatedColumnFormula>AC2-N2</calculatedColumnFormula>
    </tableColumn>
    <tableColumn id="31" name="Manpower_Status">
      <calculatedColumnFormula>IF(AD2&gt;0,"Shortage",IF(AD2&lt;0,"Surplus","Balanced"))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3:B13" totalsRowShown="0">
  <autoFilter ref="A3:B13"/>
  <tableColumns count="2">
    <tableColumn id="1" name="Metric"/>
    <tableColumn id="2" name="Definition" dataDxfId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F16" totalsRowShown="0" headerRowDxfId="14">
  <autoFilter ref="A1:F16"/>
  <tableColumns count="6">
    <tableColumn id="1" name="Production_Line"/>
    <tableColumn id="2" name="Shift"/>
    <tableColumn id="3" name="Records"/>
    <tableColumn id="4" name="Benchmark_Productivity"/>
    <tableColumn id="5" name="Avg_Downtime_Minutes"/>
    <tableColumn id="6" name="Ke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3:K18" totalsRowShown="0" headerRowDxfId="13">
  <autoFilter ref="A3:K18"/>
  <tableColumns count="11">
    <tableColumn id="1" name="Production_Line"/>
    <tableColumn id="2" name="Shift"/>
    <tableColumn id="3" name="Records">
      <calculatedColumnFormula>COUNTIFS(Workforce_Data!$F:$F,$A4,Workforce_Data!$G:$G,$B4)</calculatedColumnFormula>
    </tableColumn>
    <tableColumn id="4" name="Avg_Productivity">
      <calculatedColumnFormula>IFERROR(AVERAGEIFS(Workforce_Data!$W$2:$W$501,Workforce_Data!$F$2:$F$501,A4,Workforce_Data!$G$2:$G$501,B4),0)</calculatedColumnFormula>
    </tableColumn>
    <tableColumn id="5" name="Benchmark_P75"/>
    <tableColumn id="6" name="Avg_Efficiency" dataDxfId="12">
      <calculatedColumnFormula>IFERROR(AVERAGEIFS(Workforce_Data!$Z$2:$Z$501,Workforce_Data!$F$2:$F$501,A4,Workforce_Data!$G$2:$G$501,B4),0)</calculatedColumnFormula>
    </tableColumn>
    <tableColumn id="7" name="Avg_Present_Workers">
      <calculatedColumnFormula>IFERROR(AVERAGEIFS(Workforce_Data!$N$2:$N$501,Workforce_Data!$F$2:$F$501,A4,Workforce_Data!$G$2:$G$501,B4),0)</calculatedColumnFormula>
    </tableColumn>
    <tableColumn id="8" name="Avg_Required_Workers">
      <calculatedColumnFormula>IFERROR(AVERAGEIFS(Workforce_Data!$AC$2:$AC$501,Workforce_Data!$F$2:$F$501,A4,Workforce_Data!$G$2:$G$501,B4),0)</calculatedColumnFormula>
    </tableColumn>
    <tableColumn id="9" name="Avg_Gap">
      <calculatedColumnFormula>IFERROR(AVERAGEIFS(Workforce_Data!$AD$2:$AD$501,Workforce_Data!$F$2:$F$501,A4,Workforce_Data!$G$2:$G$501,B4),0)</calculatedColumnFormula>
    </tableColumn>
    <tableColumn id="10" name="Shortage_Obs">
      <calculatedColumnFormula>COUNTIFS(Workforce_Data!$F$2:$F$501,A4,Workforce_Data!$G$2:$G$501,B4,Workforce_Data!$AD$2:$AD$501,"&gt;0")</calculatedColumnFormula>
    </tableColumn>
    <tableColumn id="11" name="Surplus_Obs">
      <calculatedColumnFormula>COUNTIFS(Workforce_Data!$F$2:$F$501,A4,Workforce_Data!$G$2:$G$501,B4,Workforce_Data!$AD$2:$AD$501,"&lt;0")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3:K102" totalsRowShown="0" headerRowDxfId="11">
  <autoFilter ref="A3:K102"/>
  <tableColumns count="11">
    <tableColumn id="1" name="Product_ID"/>
    <tableColumn id="2" name="Product_Name"/>
    <tableColumn id="3" name="Records">
      <calculatedColumnFormula>COUNTIF(Workforce_Data!$D$2:$D$501,A4)</calculatedColumnFormula>
    </tableColumn>
    <tableColumn id="4" name="Avg_Productivity">
      <calculatedColumnFormula>IFERROR(AVERAGEIF(Workforce_Data!$D$2:$D$501,A4,Workforce_Data!$W$2:$W$501),0)</calculatedColumnFormula>
    </tableColumn>
    <tableColumn id="5" name="Benchmark_P75"/>
    <tableColumn id="6" name="Avg_Efficiency" dataDxfId="10">
      <calculatedColumnFormula>IFERROR(AVERAGEIF(Workforce_Data!$D$2:$D$501,A4,Workforce_Data!$Z$2:$Z$501),0)</calculatedColumnFormula>
    </tableColumn>
    <tableColumn id="7" name="Avg_Present_Workers">
      <calculatedColumnFormula>IFERROR(AVERAGEIF(Workforce_Data!$D$2:$D$501,A4,Workforce_Data!$N$2:$N$501),0)</calculatedColumnFormula>
    </tableColumn>
    <tableColumn id="8" name="Avg_Required_Workers">
      <calculatedColumnFormula>IFERROR(AVERAGEIF(Workforce_Data!$D$2:$D$501,A4,Workforce_Data!$AC$2:$AC$501),0)</calculatedColumnFormula>
    </tableColumn>
    <tableColumn id="9" name="Avg_Gap">
      <calculatedColumnFormula>IFERROR(AVERAGEIF(Workforce_Data!$D$2:$D$501,A4,Workforce_Data!$AD$2:$AD$501),0)</calculatedColumnFormula>
    </tableColumn>
    <tableColumn id="10" name="Shortage_Obs">
      <calculatedColumnFormula>COUNTIFS(Workforce_Data!$D$2:$D$501,A4,Workforce_Data!$AD$2:$AD$501,"&gt;0")</calculatedColumnFormula>
    </tableColumn>
    <tableColumn id="11" name="Surplus_Obs">
      <calculatedColumnFormula>COUNTIFS(Workforce_Data!$D$2:$D$501,A4,Workforce_Data!$AD$2:$AD$501,"&lt;0")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A3:B9" totalsRowShown="0">
  <autoFilter ref="A3:B9">
    <filterColumn colId="0" hiddenButton="1"/>
    <filterColumn colId="1" hiddenButton="1"/>
  </autoFilter>
  <tableColumns count="2">
    <tableColumn id="1" name="INPUTS" dataDxfId="9"/>
    <tableColumn id="2" name="Values" dataDxfId="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4" name="Table4" displayName="Table4" ref="A14:F28" totalsRowShown="0" headerRowDxfId="7" dataDxfId="6">
  <autoFilter ref="A14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Production Line" dataDxfId="5"/>
    <tableColumn id="2" name="Shift" dataDxfId="4"/>
    <tableColumn id="3" name="Records" dataDxfId="3"/>
    <tableColumn id="4" name="Benchmark Productivity" dataDxfId="2"/>
    <tableColumn id="5" name="Avg Downtime Minutes" dataDxfId="1"/>
    <tableColumn id="6" name="Ke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1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23" bestFit="1" customWidth="1"/>
    <col min="2" max="2" width="18.28515625" bestFit="1" customWidth="1"/>
    <col min="3" max="3" width="13.85546875" bestFit="1" customWidth="1"/>
    <col min="4" max="4" width="13" bestFit="1" customWidth="1"/>
    <col min="5" max="5" width="33.85546875" bestFit="1" customWidth="1"/>
    <col min="6" max="6" width="17.85546875" bestFit="1" customWidth="1"/>
    <col min="7" max="7" width="10.140625" bestFit="1" customWidth="1"/>
    <col min="8" max="8" width="17.28515625" bestFit="1" customWidth="1"/>
    <col min="9" max="9" width="13.5703125" bestFit="1" customWidth="1"/>
    <col min="10" max="10" width="18.28515625" bestFit="1" customWidth="1"/>
    <col min="11" max="11" width="18" bestFit="1" customWidth="1"/>
    <col min="12" max="12" width="20.5703125" bestFit="1" customWidth="1"/>
    <col min="13" max="13" width="18.28515625" bestFit="1" customWidth="1"/>
    <col min="14" max="14" width="18.85546875" bestFit="1" customWidth="1"/>
    <col min="15" max="15" width="18" bestFit="1" customWidth="1"/>
    <col min="16" max="16" width="21.28515625" bestFit="1" customWidth="1"/>
    <col min="17" max="17" width="19.28515625" bestFit="1" customWidth="1"/>
    <col min="18" max="18" width="15.5703125" bestFit="1" customWidth="1"/>
    <col min="19" max="19" width="26.7109375" bestFit="1" customWidth="1"/>
    <col min="20" max="20" width="22.140625" bestFit="1" customWidth="1"/>
    <col min="21" max="21" width="21.28515625" bestFit="1" customWidth="1"/>
    <col min="22" max="22" width="27.85546875" bestFit="1" customWidth="1"/>
    <col min="23" max="23" width="20.85546875" bestFit="1" customWidth="1"/>
    <col min="24" max="24" width="21.42578125" bestFit="1" customWidth="1"/>
    <col min="25" max="25" width="25.28515625" bestFit="1" customWidth="1"/>
    <col min="26" max="26" width="22.5703125" bestFit="1" customWidth="1"/>
    <col min="27" max="27" width="25" bestFit="1" customWidth="1"/>
    <col min="28" max="28" width="29.5703125" bestFit="1" customWidth="1"/>
    <col min="29" max="29" width="20.28515625" bestFit="1" customWidth="1"/>
    <col min="30" max="30" width="17.7109375" bestFit="1" customWidth="1"/>
    <col min="31" max="31" width="19.7109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1" t="s">
        <v>22</v>
      </c>
      <c r="X1" s="10" t="s">
        <v>23</v>
      </c>
      <c r="Y1" s="10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</row>
    <row r="2" spans="1:31" x14ac:dyDescent="0.25">
      <c r="A2" t="s">
        <v>31</v>
      </c>
      <c r="B2" s="2">
        <v>45915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8</v>
      </c>
      <c r="J2">
        <v>23</v>
      </c>
      <c r="K2">
        <v>8</v>
      </c>
      <c r="L2">
        <v>15</v>
      </c>
      <c r="M2">
        <v>0</v>
      </c>
      <c r="N2">
        <v>23</v>
      </c>
      <c r="O2">
        <v>1</v>
      </c>
      <c r="P2">
        <v>18</v>
      </c>
      <c r="Q2">
        <v>7.7</v>
      </c>
      <c r="R2">
        <v>177.1</v>
      </c>
      <c r="S2">
        <v>24967</v>
      </c>
      <c r="T2">
        <v>21362</v>
      </c>
      <c r="U2">
        <v>318</v>
      </c>
      <c r="V2">
        <v>21044</v>
      </c>
      <c r="W2" s="3">
        <f>IFERROR(V2/R2,0)</f>
        <v>118.82552230378317</v>
      </c>
      <c r="X2">
        <v>114.1563708384419</v>
      </c>
      <c r="Y2" s="3">
        <v>114.156370838442</v>
      </c>
      <c r="Z2" s="4">
        <f>IFERROR(W2/Y2,0)</f>
        <v>1.0409013656535133</v>
      </c>
      <c r="AA2">
        <f>IFERROR(S2/Y2,0)</f>
        <v>218.70877478519489</v>
      </c>
      <c r="AB2">
        <f>MAX(0.1,I2-(P2/60))</f>
        <v>7.7</v>
      </c>
      <c r="AC2">
        <f>IFERROR(CEILING(AA2/AB2,1),0)</f>
        <v>29</v>
      </c>
      <c r="AD2">
        <f>AC2-N2</f>
        <v>6</v>
      </c>
      <c r="AE2" t="str">
        <f>IF(AD2&gt;0,"Shortage",IF(AD2&lt;0,"Surplus","Balanced"))</f>
        <v>Shortage</v>
      </c>
    </row>
    <row r="3" spans="1:31" x14ac:dyDescent="0.25">
      <c r="A3" t="s">
        <v>38</v>
      </c>
      <c r="B3" s="2">
        <v>45917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>
        <v>8</v>
      </c>
      <c r="J3">
        <v>19</v>
      </c>
      <c r="K3">
        <v>7</v>
      </c>
      <c r="L3">
        <v>12</v>
      </c>
      <c r="M3">
        <v>0</v>
      </c>
      <c r="N3">
        <v>19</v>
      </c>
      <c r="O3">
        <v>3</v>
      </c>
      <c r="P3">
        <v>8</v>
      </c>
      <c r="Q3">
        <v>7.87</v>
      </c>
      <c r="R3">
        <v>149.53</v>
      </c>
      <c r="S3">
        <v>19721</v>
      </c>
      <c r="T3">
        <v>18079</v>
      </c>
      <c r="U3">
        <v>523</v>
      </c>
      <c r="V3">
        <v>17556</v>
      </c>
      <c r="W3" s="3">
        <f t="shared" ref="W3:W66" si="0">IFERROR(V3/R3,0)</f>
        <v>117.40787801778907</v>
      </c>
      <c r="X3">
        <v>115.1855592022217</v>
      </c>
      <c r="Y3" s="3">
        <v>115.1855592022217</v>
      </c>
      <c r="Z3" s="4">
        <f t="shared" ref="Z3:Z66" si="1">IFERROR(W3/Y3,0)</f>
        <v>1.019293380445945</v>
      </c>
      <c r="AA3" s="5">
        <f t="shared" ref="AA3:AA66" si="2">IFERROR(S3/Y3,0)</f>
        <v>171.21069808219173</v>
      </c>
      <c r="AB3" s="5">
        <f t="shared" ref="AB3:AB66" si="3">MAX(0.1,I3-(P3/60))</f>
        <v>7.8666666666666663</v>
      </c>
      <c r="AC3" s="5">
        <f t="shared" ref="AC3:AC66" si="4">IFERROR(CEILING(AA3/AB3,1),0)</f>
        <v>22</v>
      </c>
      <c r="AD3" s="5">
        <f t="shared" ref="AD3:AD66" si="5">AC3-N3</f>
        <v>3</v>
      </c>
      <c r="AE3" s="5" t="str">
        <f t="shared" ref="AE3:AE66" si="6">IF(AD3&gt;0,"Shortage",IF(AD3&lt;0,"Surplus","Balanced"))</f>
        <v>Shortage</v>
      </c>
    </row>
    <row r="4" spans="1:31" x14ac:dyDescent="0.25">
      <c r="A4" t="s">
        <v>45</v>
      </c>
      <c r="B4" s="2">
        <v>45918</v>
      </c>
      <c r="C4" t="s">
        <v>46</v>
      </c>
      <c r="D4" t="s">
        <v>47</v>
      </c>
      <c r="E4" t="s">
        <v>48</v>
      </c>
      <c r="F4" t="s">
        <v>49</v>
      </c>
      <c r="G4" t="s">
        <v>43</v>
      </c>
      <c r="H4" t="s">
        <v>50</v>
      </c>
      <c r="I4">
        <v>10</v>
      </c>
      <c r="J4">
        <v>25</v>
      </c>
      <c r="K4">
        <v>10</v>
      </c>
      <c r="L4">
        <v>15</v>
      </c>
      <c r="M4">
        <v>1</v>
      </c>
      <c r="N4">
        <v>24</v>
      </c>
      <c r="O4">
        <v>0</v>
      </c>
      <c r="P4">
        <v>55</v>
      </c>
      <c r="Q4">
        <v>9.08</v>
      </c>
      <c r="R4">
        <v>217.92</v>
      </c>
      <c r="S4">
        <v>23429</v>
      </c>
      <c r="T4">
        <v>17745</v>
      </c>
      <c r="U4">
        <v>340</v>
      </c>
      <c r="V4">
        <v>17405</v>
      </c>
      <c r="W4" s="3">
        <f t="shared" si="0"/>
        <v>79.868759177679891</v>
      </c>
      <c r="X4">
        <v>124.78240035826239</v>
      </c>
      <c r="Y4" s="3">
        <v>124.78240035826239</v>
      </c>
      <c r="Z4" s="4">
        <f t="shared" si="1"/>
        <v>0.64006429551257971</v>
      </c>
      <c r="AA4" s="5">
        <f t="shared" si="2"/>
        <v>187.758850068063</v>
      </c>
      <c r="AB4" s="5">
        <f t="shared" si="3"/>
        <v>9.0833333333333339</v>
      </c>
      <c r="AC4" s="5">
        <f t="shared" si="4"/>
        <v>21</v>
      </c>
      <c r="AD4" s="5">
        <f t="shared" si="5"/>
        <v>-3</v>
      </c>
      <c r="AE4" s="5" t="str">
        <f t="shared" si="6"/>
        <v>Surplus</v>
      </c>
    </row>
    <row r="5" spans="1:31" x14ac:dyDescent="0.25">
      <c r="A5" t="s">
        <v>51</v>
      </c>
      <c r="B5" s="2">
        <v>45918</v>
      </c>
      <c r="C5" t="s">
        <v>52</v>
      </c>
      <c r="D5" t="s">
        <v>53</v>
      </c>
      <c r="E5" t="s">
        <v>54</v>
      </c>
      <c r="F5" t="s">
        <v>55</v>
      </c>
      <c r="G5" t="s">
        <v>43</v>
      </c>
      <c r="H5" t="s">
        <v>37</v>
      </c>
      <c r="I5">
        <v>8</v>
      </c>
      <c r="J5">
        <v>17</v>
      </c>
      <c r="K5">
        <v>8</v>
      </c>
      <c r="L5">
        <v>9</v>
      </c>
      <c r="M5">
        <v>0</v>
      </c>
      <c r="N5">
        <v>17</v>
      </c>
      <c r="O5">
        <v>3</v>
      </c>
      <c r="P5">
        <v>39</v>
      </c>
      <c r="Q5">
        <v>7.35</v>
      </c>
      <c r="R5">
        <v>124.95</v>
      </c>
      <c r="S5">
        <v>16430</v>
      </c>
      <c r="T5">
        <v>12349</v>
      </c>
      <c r="U5">
        <v>270</v>
      </c>
      <c r="V5">
        <v>12079</v>
      </c>
      <c r="W5" s="3">
        <f t="shared" si="0"/>
        <v>96.670668267306922</v>
      </c>
      <c r="X5">
        <v>109.38855294136761</v>
      </c>
      <c r="Y5" s="3">
        <v>109.38855294136761</v>
      </c>
      <c r="Z5" s="4">
        <f t="shared" si="1"/>
        <v>0.88373660376623242</v>
      </c>
      <c r="AA5" s="5">
        <f t="shared" si="2"/>
        <v>150.19853136558538</v>
      </c>
      <c r="AB5" s="5">
        <f t="shared" si="3"/>
        <v>7.35</v>
      </c>
      <c r="AC5" s="5">
        <f t="shared" si="4"/>
        <v>21</v>
      </c>
      <c r="AD5" s="5">
        <f t="shared" si="5"/>
        <v>4</v>
      </c>
      <c r="AE5" s="5" t="str">
        <f t="shared" si="6"/>
        <v>Shortage</v>
      </c>
    </row>
    <row r="6" spans="1:31" x14ac:dyDescent="0.25">
      <c r="A6" t="s">
        <v>56</v>
      </c>
      <c r="B6" s="2">
        <v>45918</v>
      </c>
      <c r="C6" t="s">
        <v>57</v>
      </c>
      <c r="D6" t="s">
        <v>58</v>
      </c>
      <c r="E6" t="s">
        <v>59</v>
      </c>
      <c r="F6" t="s">
        <v>35</v>
      </c>
      <c r="G6" t="s">
        <v>43</v>
      </c>
      <c r="H6" t="s">
        <v>37</v>
      </c>
      <c r="I6">
        <v>10</v>
      </c>
      <c r="J6">
        <v>24</v>
      </c>
      <c r="K6">
        <v>11</v>
      </c>
      <c r="L6">
        <v>13</v>
      </c>
      <c r="M6">
        <v>0</v>
      </c>
      <c r="N6">
        <v>24</v>
      </c>
      <c r="O6">
        <v>0</v>
      </c>
      <c r="P6">
        <v>35</v>
      </c>
      <c r="Q6">
        <v>9.42</v>
      </c>
      <c r="R6">
        <v>226.08</v>
      </c>
      <c r="S6">
        <v>20728</v>
      </c>
      <c r="T6">
        <v>18289</v>
      </c>
      <c r="U6">
        <v>352</v>
      </c>
      <c r="V6">
        <v>17937</v>
      </c>
      <c r="W6" s="3">
        <f t="shared" si="0"/>
        <v>79.339171974522287</v>
      </c>
      <c r="X6">
        <v>118.01656521145939</v>
      </c>
      <c r="Y6" s="3">
        <v>118.01656521145939</v>
      </c>
      <c r="Z6" s="4">
        <f t="shared" si="1"/>
        <v>0.67227148860301233</v>
      </c>
      <c r="AA6" s="5">
        <f t="shared" si="2"/>
        <v>175.63636056396015</v>
      </c>
      <c r="AB6" s="5">
        <f t="shared" si="3"/>
        <v>9.4166666666666661</v>
      </c>
      <c r="AC6" s="5">
        <f t="shared" si="4"/>
        <v>19</v>
      </c>
      <c r="AD6" s="5">
        <f t="shared" si="5"/>
        <v>-5</v>
      </c>
      <c r="AE6" s="5" t="str">
        <f t="shared" si="6"/>
        <v>Surplus</v>
      </c>
    </row>
    <row r="7" spans="1:31" x14ac:dyDescent="0.25">
      <c r="A7" t="s">
        <v>60</v>
      </c>
      <c r="B7" s="2">
        <v>45919</v>
      </c>
      <c r="C7" t="s">
        <v>61</v>
      </c>
      <c r="D7" t="s">
        <v>62</v>
      </c>
      <c r="E7" t="s">
        <v>63</v>
      </c>
      <c r="F7" t="s">
        <v>42</v>
      </c>
      <c r="G7" t="s">
        <v>36</v>
      </c>
      <c r="H7" t="s">
        <v>37</v>
      </c>
      <c r="I7">
        <v>8</v>
      </c>
      <c r="J7">
        <v>19</v>
      </c>
      <c r="K7">
        <v>8</v>
      </c>
      <c r="L7">
        <v>11</v>
      </c>
      <c r="M7">
        <v>0</v>
      </c>
      <c r="N7">
        <v>19</v>
      </c>
      <c r="O7">
        <v>2</v>
      </c>
      <c r="P7">
        <v>35</v>
      </c>
      <c r="Q7">
        <v>7.42</v>
      </c>
      <c r="R7">
        <v>140.97999999999999</v>
      </c>
      <c r="S7">
        <v>19395</v>
      </c>
      <c r="T7">
        <v>15022</v>
      </c>
      <c r="U7">
        <v>231</v>
      </c>
      <c r="V7">
        <v>14791</v>
      </c>
      <c r="W7" s="3">
        <f t="shared" si="0"/>
        <v>104.91559086395235</v>
      </c>
      <c r="X7">
        <v>112.98347693798689</v>
      </c>
      <c r="Y7" s="3">
        <v>112.98347693798689</v>
      </c>
      <c r="Z7" s="4">
        <f t="shared" si="1"/>
        <v>0.92859233674971109</v>
      </c>
      <c r="AA7" s="5">
        <f t="shared" si="2"/>
        <v>171.66226890543749</v>
      </c>
      <c r="AB7" s="5">
        <f t="shared" si="3"/>
        <v>7.416666666666667</v>
      </c>
      <c r="AC7" s="5">
        <f t="shared" si="4"/>
        <v>24</v>
      </c>
      <c r="AD7" s="5">
        <f t="shared" si="5"/>
        <v>5</v>
      </c>
      <c r="AE7" s="5" t="str">
        <f t="shared" si="6"/>
        <v>Shortage</v>
      </c>
    </row>
    <row r="8" spans="1:31" x14ac:dyDescent="0.25">
      <c r="A8" t="s">
        <v>64</v>
      </c>
      <c r="B8" s="2">
        <v>45919</v>
      </c>
      <c r="C8" t="s">
        <v>65</v>
      </c>
      <c r="D8" t="s">
        <v>66</v>
      </c>
      <c r="E8" t="s">
        <v>67</v>
      </c>
      <c r="F8" t="s">
        <v>68</v>
      </c>
      <c r="G8" t="s">
        <v>36</v>
      </c>
      <c r="H8" t="s">
        <v>69</v>
      </c>
      <c r="I8">
        <v>8</v>
      </c>
      <c r="J8">
        <v>26</v>
      </c>
      <c r="K8">
        <v>10</v>
      </c>
      <c r="L8">
        <v>16</v>
      </c>
      <c r="M8">
        <v>0</v>
      </c>
      <c r="N8">
        <v>26</v>
      </c>
      <c r="O8">
        <v>2</v>
      </c>
      <c r="P8">
        <v>16</v>
      </c>
      <c r="Q8">
        <v>7.73</v>
      </c>
      <c r="R8">
        <v>200.98</v>
      </c>
      <c r="S8">
        <v>21768</v>
      </c>
      <c r="T8">
        <v>22188</v>
      </c>
      <c r="U8">
        <v>372</v>
      </c>
      <c r="V8">
        <v>21816</v>
      </c>
      <c r="W8" s="3">
        <f t="shared" si="0"/>
        <v>108.54811424022292</v>
      </c>
      <c r="X8">
        <v>120.8174989437542</v>
      </c>
      <c r="Y8" s="3">
        <v>120.8174989437542</v>
      </c>
      <c r="Z8" s="4">
        <f t="shared" si="1"/>
        <v>0.89844695668428609</v>
      </c>
      <c r="AA8" s="5">
        <f t="shared" si="2"/>
        <v>180.17257591248392</v>
      </c>
      <c r="AB8" s="5">
        <f t="shared" si="3"/>
        <v>7.7333333333333334</v>
      </c>
      <c r="AC8" s="5">
        <f t="shared" si="4"/>
        <v>24</v>
      </c>
      <c r="AD8" s="5">
        <f t="shared" si="5"/>
        <v>-2</v>
      </c>
      <c r="AE8" s="5" t="str">
        <f t="shared" si="6"/>
        <v>Surplus</v>
      </c>
    </row>
    <row r="9" spans="1:31" x14ac:dyDescent="0.25">
      <c r="A9" t="s">
        <v>70</v>
      </c>
      <c r="B9" s="2">
        <v>45919</v>
      </c>
      <c r="C9" t="s">
        <v>71</v>
      </c>
      <c r="D9" t="s">
        <v>72</v>
      </c>
      <c r="E9" t="s">
        <v>73</v>
      </c>
      <c r="F9" t="s">
        <v>35</v>
      </c>
      <c r="G9" t="s">
        <v>43</v>
      </c>
      <c r="H9" t="s">
        <v>74</v>
      </c>
      <c r="I9">
        <v>9</v>
      </c>
      <c r="J9">
        <v>22</v>
      </c>
      <c r="K9">
        <v>8</v>
      </c>
      <c r="L9">
        <v>14</v>
      </c>
      <c r="M9">
        <v>0</v>
      </c>
      <c r="N9">
        <v>22</v>
      </c>
      <c r="O9">
        <v>3</v>
      </c>
      <c r="P9">
        <v>48</v>
      </c>
      <c r="Q9">
        <v>8.1999999999999993</v>
      </c>
      <c r="R9">
        <v>180.4</v>
      </c>
      <c r="S9">
        <v>21770</v>
      </c>
      <c r="T9">
        <v>15694</v>
      </c>
      <c r="U9">
        <v>220</v>
      </c>
      <c r="V9">
        <v>15474</v>
      </c>
      <c r="W9" s="3">
        <f t="shared" si="0"/>
        <v>85.776053215077596</v>
      </c>
      <c r="X9">
        <v>118.01656521145939</v>
      </c>
      <c r="Y9" s="3">
        <v>118.01656521145939</v>
      </c>
      <c r="Z9" s="4">
        <f t="shared" si="1"/>
        <v>0.72681367282115028</v>
      </c>
      <c r="AA9" s="5">
        <f t="shared" si="2"/>
        <v>184.46562955796085</v>
      </c>
      <c r="AB9" s="5">
        <f t="shared" si="3"/>
        <v>8.1999999999999993</v>
      </c>
      <c r="AC9" s="5">
        <f t="shared" si="4"/>
        <v>23</v>
      </c>
      <c r="AD9" s="5">
        <f t="shared" si="5"/>
        <v>1</v>
      </c>
      <c r="AE9" s="5" t="str">
        <f t="shared" si="6"/>
        <v>Shortage</v>
      </c>
    </row>
    <row r="10" spans="1:31" x14ac:dyDescent="0.25">
      <c r="A10" t="s">
        <v>75</v>
      </c>
      <c r="B10" s="2">
        <v>45919</v>
      </c>
      <c r="C10" t="s">
        <v>76</v>
      </c>
      <c r="D10" t="s">
        <v>77</v>
      </c>
      <c r="E10" t="s">
        <v>78</v>
      </c>
      <c r="F10" t="s">
        <v>42</v>
      </c>
      <c r="G10" t="s">
        <v>79</v>
      </c>
      <c r="H10" t="s">
        <v>50</v>
      </c>
      <c r="I10">
        <v>8</v>
      </c>
      <c r="J10">
        <v>15</v>
      </c>
      <c r="K10">
        <v>7</v>
      </c>
      <c r="L10">
        <v>8</v>
      </c>
      <c r="M10">
        <v>1</v>
      </c>
      <c r="N10">
        <v>14</v>
      </c>
      <c r="O10">
        <v>0</v>
      </c>
      <c r="P10">
        <v>48</v>
      </c>
      <c r="Q10">
        <v>7.2</v>
      </c>
      <c r="R10">
        <v>100.8</v>
      </c>
      <c r="S10">
        <v>12207</v>
      </c>
      <c r="T10">
        <v>9767</v>
      </c>
      <c r="U10">
        <v>112</v>
      </c>
      <c r="V10">
        <v>9655</v>
      </c>
      <c r="W10" s="3">
        <f t="shared" si="0"/>
        <v>95.783730158730165</v>
      </c>
      <c r="X10">
        <v>99.399922570654283</v>
      </c>
      <c r="Y10" s="3">
        <v>99.399922570654283</v>
      </c>
      <c r="Z10" s="4">
        <f t="shared" si="1"/>
        <v>0.96361976630963975</v>
      </c>
      <c r="AA10" s="5">
        <f t="shared" si="2"/>
        <v>122.80693670886075</v>
      </c>
      <c r="AB10" s="5">
        <f t="shared" si="3"/>
        <v>7.2</v>
      </c>
      <c r="AC10" s="5">
        <f t="shared" si="4"/>
        <v>18</v>
      </c>
      <c r="AD10" s="5">
        <f t="shared" si="5"/>
        <v>4</v>
      </c>
      <c r="AE10" s="5" t="str">
        <f t="shared" si="6"/>
        <v>Shortage</v>
      </c>
    </row>
    <row r="11" spans="1:31" x14ac:dyDescent="0.25">
      <c r="A11" t="s">
        <v>80</v>
      </c>
      <c r="B11" s="2">
        <v>45923</v>
      </c>
      <c r="C11" t="s">
        <v>81</v>
      </c>
      <c r="D11" t="s">
        <v>82</v>
      </c>
      <c r="E11" t="s">
        <v>83</v>
      </c>
      <c r="F11" t="s">
        <v>55</v>
      </c>
      <c r="G11" t="s">
        <v>43</v>
      </c>
      <c r="H11" t="s">
        <v>74</v>
      </c>
      <c r="I11">
        <v>10</v>
      </c>
      <c r="J11">
        <v>21</v>
      </c>
      <c r="K11">
        <v>8</v>
      </c>
      <c r="L11">
        <v>13</v>
      </c>
      <c r="M11">
        <v>1</v>
      </c>
      <c r="N11">
        <v>20</v>
      </c>
      <c r="O11">
        <v>3</v>
      </c>
      <c r="P11">
        <v>26</v>
      </c>
      <c r="Q11">
        <v>9.57</v>
      </c>
      <c r="R11">
        <v>191.4</v>
      </c>
      <c r="S11">
        <v>18702</v>
      </c>
      <c r="T11">
        <v>16083</v>
      </c>
      <c r="U11">
        <v>86</v>
      </c>
      <c r="V11">
        <v>15997</v>
      </c>
      <c r="W11" s="3">
        <f t="shared" si="0"/>
        <v>83.578892371995821</v>
      </c>
      <c r="X11">
        <v>109.38855294136761</v>
      </c>
      <c r="Y11" s="3">
        <v>109.38855294136761</v>
      </c>
      <c r="Z11" s="4">
        <f t="shared" si="1"/>
        <v>0.76405519704419356</v>
      </c>
      <c r="AA11" s="5">
        <f t="shared" si="2"/>
        <v>170.96852912959088</v>
      </c>
      <c r="AB11" s="5">
        <f t="shared" si="3"/>
        <v>9.5666666666666664</v>
      </c>
      <c r="AC11" s="5">
        <f t="shared" si="4"/>
        <v>18</v>
      </c>
      <c r="AD11" s="5">
        <f t="shared" si="5"/>
        <v>-2</v>
      </c>
      <c r="AE11" s="5" t="str">
        <f t="shared" si="6"/>
        <v>Surplus</v>
      </c>
    </row>
    <row r="12" spans="1:31" x14ac:dyDescent="0.25">
      <c r="A12" t="s">
        <v>84</v>
      </c>
      <c r="B12" s="2">
        <v>45923</v>
      </c>
      <c r="C12" t="s">
        <v>85</v>
      </c>
      <c r="D12" t="s">
        <v>86</v>
      </c>
      <c r="E12" t="s">
        <v>87</v>
      </c>
      <c r="F12" t="s">
        <v>55</v>
      </c>
      <c r="G12" t="s">
        <v>43</v>
      </c>
      <c r="H12" t="s">
        <v>88</v>
      </c>
      <c r="I12">
        <v>10</v>
      </c>
      <c r="J12">
        <v>15</v>
      </c>
      <c r="K12">
        <v>5</v>
      </c>
      <c r="L12">
        <v>10</v>
      </c>
      <c r="M12">
        <v>0</v>
      </c>
      <c r="N12">
        <v>15</v>
      </c>
      <c r="O12">
        <v>2</v>
      </c>
      <c r="P12">
        <v>36</v>
      </c>
      <c r="Q12">
        <v>9.4</v>
      </c>
      <c r="R12">
        <v>141</v>
      </c>
      <c r="S12">
        <v>19264</v>
      </c>
      <c r="T12">
        <v>16603</v>
      </c>
      <c r="U12">
        <v>519</v>
      </c>
      <c r="V12">
        <v>16084</v>
      </c>
      <c r="W12" s="3">
        <f t="shared" si="0"/>
        <v>114.0709219858156</v>
      </c>
      <c r="X12">
        <v>109.38855294136761</v>
      </c>
      <c r="Y12" s="3">
        <v>109.38855294136761</v>
      </c>
      <c r="Z12" s="4">
        <f t="shared" si="1"/>
        <v>1.0428049271934126</v>
      </c>
      <c r="AA12" s="5">
        <f t="shared" si="2"/>
        <v>176.10617822438448</v>
      </c>
      <c r="AB12" s="5">
        <f t="shared" si="3"/>
        <v>9.4</v>
      </c>
      <c r="AC12" s="5">
        <f t="shared" si="4"/>
        <v>19</v>
      </c>
      <c r="AD12" s="5">
        <f t="shared" si="5"/>
        <v>4</v>
      </c>
      <c r="AE12" s="5" t="str">
        <f t="shared" si="6"/>
        <v>Shortage</v>
      </c>
    </row>
    <row r="13" spans="1:31" x14ac:dyDescent="0.25">
      <c r="A13" t="s">
        <v>89</v>
      </c>
      <c r="B13" s="2">
        <v>45924</v>
      </c>
      <c r="C13" t="s">
        <v>90</v>
      </c>
      <c r="D13" t="s">
        <v>33</v>
      </c>
      <c r="E13" t="s">
        <v>34</v>
      </c>
      <c r="F13" t="s">
        <v>49</v>
      </c>
      <c r="G13" t="s">
        <v>36</v>
      </c>
      <c r="H13" t="s">
        <v>74</v>
      </c>
      <c r="I13">
        <v>9</v>
      </c>
      <c r="J13">
        <v>23</v>
      </c>
      <c r="K13">
        <v>7</v>
      </c>
      <c r="L13">
        <v>16</v>
      </c>
      <c r="M13">
        <v>0</v>
      </c>
      <c r="N13">
        <v>23</v>
      </c>
      <c r="O13">
        <v>0</v>
      </c>
      <c r="P13">
        <v>48</v>
      </c>
      <c r="Q13">
        <v>8.1999999999999993</v>
      </c>
      <c r="R13">
        <v>188.6</v>
      </c>
      <c r="S13">
        <v>27427</v>
      </c>
      <c r="T13">
        <v>20576</v>
      </c>
      <c r="U13">
        <v>723</v>
      </c>
      <c r="V13">
        <v>19853</v>
      </c>
      <c r="W13" s="3">
        <f t="shared" si="0"/>
        <v>105.26511134676565</v>
      </c>
      <c r="X13">
        <v>118.4084783141387</v>
      </c>
      <c r="Y13" s="3">
        <v>118.4084783141387</v>
      </c>
      <c r="Z13" s="4">
        <f t="shared" si="1"/>
        <v>0.88899978148098835</v>
      </c>
      <c r="AA13" s="5">
        <f t="shared" si="2"/>
        <v>231.63037301464118</v>
      </c>
      <c r="AB13" s="5">
        <f t="shared" si="3"/>
        <v>8.1999999999999993</v>
      </c>
      <c r="AC13" s="5">
        <f t="shared" si="4"/>
        <v>29</v>
      </c>
      <c r="AD13" s="5">
        <f t="shared" si="5"/>
        <v>6</v>
      </c>
      <c r="AE13" s="5" t="str">
        <f t="shared" si="6"/>
        <v>Shortage</v>
      </c>
    </row>
    <row r="14" spans="1:31" x14ac:dyDescent="0.25">
      <c r="A14" t="s">
        <v>91</v>
      </c>
      <c r="B14" s="2">
        <v>45924</v>
      </c>
      <c r="C14" t="s">
        <v>92</v>
      </c>
      <c r="D14" t="s">
        <v>58</v>
      </c>
      <c r="E14" t="s">
        <v>59</v>
      </c>
      <c r="F14" t="s">
        <v>35</v>
      </c>
      <c r="G14" t="s">
        <v>36</v>
      </c>
      <c r="H14" t="s">
        <v>50</v>
      </c>
      <c r="I14">
        <v>10</v>
      </c>
      <c r="J14">
        <v>21</v>
      </c>
      <c r="K14">
        <v>7</v>
      </c>
      <c r="L14">
        <v>14</v>
      </c>
      <c r="M14">
        <v>0</v>
      </c>
      <c r="N14">
        <v>21</v>
      </c>
      <c r="O14">
        <v>1</v>
      </c>
      <c r="P14">
        <v>42</v>
      </c>
      <c r="Q14">
        <v>9.3000000000000007</v>
      </c>
      <c r="R14">
        <v>195.3</v>
      </c>
      <c r="S14">
        <v>18288</v>
      </c>
      <c r="T14">
        <v>14742</v>
      </c>
      <c r="U14">
        <v>545</v>
      </c>
      <c r="V14">
        <v>14197</v>
      </c>
      <c r="W14" s="3">
        <f t="shared" si="0"/>
        <v>72.693292370711717</v>
      </c>
      <c r="X14">
        <v>114.1563708384419</v>
      </c>
      <c r="Y14" s="3">
        <v>114.1563708384419</v>
      </c>
      <c r="Z14" s="4">
        <f t="shared" si="1"/>
        <v>0.63678699521369519</v>
      </c>
      <c r="AA14" s="5">
        <f t="shared" si="2"/>
        <v>160.20130865829483</v>
      </c>
      <c r="AB14" s="5">
        <f t="shared" si="3"/>
        <v>9.3000000000000007</v>
      </c>
      <c r="AC14" s="5">
        <f t="shared" si="4"/>
        <v>18</v>
      </c>
      <c r="AD14" s="5">
        <f t="shared" si="5"/>
        <v>-3</v>
      </c>
      <c r="AE14" s="5" t="str">
        <f t="shared" si="6"/>
        <v>Surplus</v>
      </c>
    </row>
    <row r="15" spans="1:31" x14ac:dyDescent="0.25">
      <c r="A15" t="s">
        <v>93</v>
      </c>
      <c r="B15" s="2">
        <v>45924</v>
      </c>
      <c r="C15" t="s">
        <v>94</v>
      </c>
      <c r="D15" t="s">
        <v>95</v>
      </c>
      <c r="E15" t="s">
        <v>96</v>
      </c>
      <c r="F15" t="s">
        <v>55</v>
      </c>
      <c r="G15" t="s">
        <v>43</v>
      </c>
      <c r="H15" t="s">
        <v>88</v>
      </c>
      <c r="I15">
        <v>8</v>
      </c>
      <c r="J15">
        <v>15</v>
      </c>
      <c r="K15">
        <v>5</v>
      </c>
      <c r="L15">
        <v>10</v>
      </c>
      <c r="M15">
        <v>0</v>
      </c>
      <c r="N15">
        <v>15</v>
      </c>
      <c r="O15">
        <v>1</v>
      </c>
      <c r="P15">
        <v>16</v>
      </c>
      <c r="Q15">
        <v>7.73</v>
      </c>
      <c r="R15">
        <v>115.95</v>
      </c>
      <c r="S15">
        <v>14863</v>
      </c>
      <c r="T15">
        <v>13918</v>
      </c>
      <c r="U15">
        <v>185</v>
      </c>
      <c r="V15">
        <v>13733</v>
      </c>
      <c r="W15" s="3">
        <f t="shared" si="0"/>
        <v>118.4389823199655</v>
      </c>
      <c r="X15">
        <v>109.38855294136761</v>
      </c>
      <c r="Y15" s="3">
        <v>109.38855294136761</v>
      </c>
      <c r="Z15" s="4">
        <f t="shared" si="1"/>
        <v>1.082736530790831</v>
      </c>
      <c r="AA15" s="5">
        <f t="shared" si="2"/>
        <v>135.87344928099182</v>
      </c>
      <c r="AB15" s="5">
        <f t="shared" si="3"/>
        <v>7.7333333333333334</v>
      </c>
      <c r="AC15" s="5">
        <f t="shared" si="4"/>
        <v>18</v>
      </c>
      <c r="AD15" s="5">
        <f t="shared" si="5"/>
        <v>3</v>
      </c>
      <c r="AE15" s="5" t="str">
        <f t="shared" si="6"/>
        <v>Shortage</v>
      </c>
    </row>
    <row r="16" spans="1:31" x14ac:dyDescent="0.25">
      <c r="A16" t="s">
        <v>97</v>
      </c>
      <c r="B16" s="2">
        <v>45925</v>
      </c>
      <c r="C16" t="s">
        <v>98</v>
      </c>
      <c r="D16" t="s">
        <v>99</v>
      </c>
      <c r="E16" t="s">
        <v>100</v>
      </c>
      <c r="F16" t="s">
        <v>35</v>
      </c>
      <c r="G16" t="s">
        <v>36</v>
      </c>
      <c r="H16" t="s">
        <v>37</v>
      </c>
      <c r="I16">
        <v>8</v>
      </c>
      <c r="J16">
        <v>18</v>
      </c>
      <c r="K16">
        <v>9</v>
      </c>
      <c r="L16">
        <v>9</v>
      </c>
      <c r="M16">
        <v>0</v>
      </c>
      <c r="N16">
        <v>18</v>
      </c>
      <c r="O16">
        <v>3</v>
      </c>
      <c r="P16">
        <v>21</v>
      </c>
      <c r="Q16">
        <v>7.65</v>
      </c>
      <c r="R16">
        <v>137.69999999999999</v>
      </c>
      <c r="S16">
        <v>12692</v>
      </c>
      <c r="T16">
        <v>10434</v>
      </c>
      <c r="U16">
        <v>175</v>
      </c>
      <c r="V16">
        <v>10259</v>
      </c>
      <c r="W16" s="3">
        <f t="shared" si="0"/>
        <v>74.502541757443723</v>
      </c>
      <c r="X16">
        <v>114.1563708384419</v>
      </c>
      <c r="Y16" s="3">
        <v>114.1563708384419</v>
      </c>
      <c r="Z16" s="4">
        <f t="shared" si="1"/>
        <v>0.65263586438712506</v>
      </c>
      <c r="AA16" s="5">
        <f t="shared" si="2"/>
        <v>111.18082947785861</v>
      </c>
      <c r="AB16" s="5">
        <f t="shared" si="3"/>
        <v>7.65</v>
      </c>
      <c r="AC16" s="5">
        <f t="shared" si="4"/>
        <v>15</v>
      </c>
      <c r="AD16" s="5">
        <f t="shared" si="5"/>
        <v>-3</v>
      </c>
      <c r="AE16" s="5" t="str">
        <f t="shared" si="6"/>
        <v>Surplus</v>
      </c>
    </row>
    <row r="17" spans="1:31" x14ac:dyDescent="0.25">
      <c r="A17" t="s">
        <v>101</v>
      </c>
      <c r="B17" s="2">
        <v>45925</v>
      </c>
      <c r="C17" t="s">
        <v>102</v>
      </c>
      <c r="D17" t="s">
        <v>103</v>
      </c>
      <c r="E17" t="s">
        <v>104</v>
      </c>
      <c r="F17" t="s">
        <v>35</v>
      </c>
      <c r="G17" t="s">
        <v>43</v>
      </c>
      <c r="H17" t="s">
        <v>37</v>
      </c>
      <c r="I17">
        <v>9</v>
      </c>
      <c r="J17">
        <v>21</v>
      </c>
      <c r="K17">
        <v>10</v>
      </c>
      <c r="L17">
        <v>11</v>
      </c>
      <c r="M17">
        <v>0</v>
      </c>
      <c r="N17">
        <v>21</v>
      </c>
      <c r="O17">
        <v>2</v>
      </c>
      <c r="P17">
        <v>45</v>
      </c>
      <c r="Q17">
        <v>8.25</v>
      </c>
      <c r="R17">
        <v>173.25</v>
      </c>
      <c r="S17">
        <v>22868</v>
      </c>
      <c r="T17">
        <v>19752</v>
      </c>
      <c r="U17">
        <v>436</v>
      </c>
      <c r="V17">
        <v>19316</v>
      </c>
      <c r="W17" s="3">
        <f t="shared" si="0"/>
        <v>111.49206349206349</v>
      </c>
      <c r="X17">
        <v>118.01656521145939</v>
      </c>
      <c r="Y17" s="3">
        <v>118.01656521145939</v>
      </c>
      <c r="Z17" s="4">
        <f t="shared" si="1"/>
        <v>0.94471537357738344</v>
      </c>
      <c r="AA17" s="5">
        <f t="shared" si="2"/>
        <v>193.76940820998848</v>
      </c>
      <c r="AB17" s="5">
        <f t="shared" si="3"/>
        <v>8.25</v>
      </c>
      <c r="AC17" s="5">
        <f t="shared" si="4"/>
        <v>24</v>
      </c>
      <c r="AD17" s="5">
        <f t="shared" si="5"/>
        <v>3</v>
      </c>
      <c r="AE17" s="5" t="str">
        <f t="shared" si="6"/>
        <v>Shortage</v>
      </c>
    </row>
    <row r="18" spans="1:31" x14ac:dyDescent="0.25">
      <c r="A18" t="s">
        <v>105</v>
      </c>
      <c r="B18" s="2">
        <v>45927</v>
      </c>
      <c r="C18" t="s">
        <v>106</v>
      </c>
      <c r="D18" t="s">
        <v>107</v>
      </c>
      <c r="E18" t="s">
        <v>108</v>
      </c>
      <c r="F18" t="s">
        <v>35</v>
      </c>
      <c r="G18" t="s">
        <v>36</v>
      </c>
      <c r="H18" t="s">
        <v>37</v>
      </c>
      <c r="I18">
        <v>9</v>
      </c>
      <c r="J18">
        <v>19</v>
      </c>
      <c r="K18">
        <v>6</v>
      </c>
      <c r="L18">
        <v>13</v>
      </c>
      <c r="M18">
        <v>0</v>
      </c>
      <c r="N18">
        <v>19</v>
      </c>
      <c r="O18">
        <v>2</v>
      </c>
      <c r="P18">
        <v>33</v>
      </c>
      <c r="Q18">
        <v>8.4499999999999993</v>
      </c>
      <c r="R18">
        <v>160.55000000000001</v>
      </c>
      <c r="S18">
        <v>21335</v>
      </c>
      <c r="T18">
        <v>17551</v>
      </c>
      <c r="U18">
        <v>611</v>
      </c>
      <c r="V18">
        <v>16940</v>
      </c>
      <c r="W18" s="3">
        <f t="shared" si="0"/>
        <v>105.51230146371846</v>
      </c>
      <c r="X18">
        <v>114.1563708384419</v>
      </c>
      <c r="Y18" s="3">
        <v>114.1563708384419</v>
      </c>
      <c r="Z18" s="4">
        <f t="shared" si="1"/>
        <v>0.92427869499323145</v>
      </c>
      <c r="AA18" s="5">
        <f t="shared" si="2"/>
        <v>186.89276685393267</v>
      </c>
      <c r="AB18" s="5">
        <f t="shared" si="3"/>
        <v>8.4499999999999993</v>
      </c>
      <c r="AC18" s="5">
        <f t="shared" si="4"/>
        <v>23</v>
      </c>
      <c r="AD18" s="5">
        <f t="shared" si="5"/>
        <v>4</v>
      </c>
      <c r="AE18" s="5" t="str">
        <f t="shared" si="6"/>
        <v>Shortage</v>
      </c>
    </row>
    <row r="19" spans="1:31" x14ac:dyDescent="0.25">
      <c r="A19" t="s">
        <v>109</v>
      </c>
      <c r="B19" s="2">
        <v>45928</v>
      </c>
      <c r="C19" t="s">
        <v>110</v>
      </c>
      <c r="D19" t="s">
        <v>111</v>
      </c>
      <c r="E19" t="s">
        <v>112</v>
      </c>
      <c r="F19" t="s">
        <v>68</v>
      </c>
      <c r="G19" t="s">
        <v>36</v>
      </c>
      <c r="H19" t="s">
        <v>44</v>
      </c>
      <c r="I19">
        <v>8</v>
      </c>
      <c r="J19">
        <v>26</v>
      </c>
      <c r="K19">
        <v>9</v>
      </c>
      <c r="L19">
        <v>17</v>
      </c>
      <c r="M19">
        <v>0</v>
      </c>
      <c r="N19">
        <v>26</v>
      </c>
      <c r="O19">
        <v>0</v>
      </c>
      <c r="P19">
        <v>5</v>
      </c>
      <c r="Q19">
        <v>7.92</v>
      </c>
      <c r="R19">
        <v>205.92</v>
      </c>
      <c r="S19">
        <v>26613</v>
      </c>
      <c r="T19">
        <v>22316</v>
      </c>
      <c r="U19">
        <v>596</v>
      </c>
      <c r="V19">
        <v>21720</v>
      </c>
      <c r="W19" s="3">
        <f t="shared" si="0"/>
        <v>105.47785547785548</v>
      </c>
      <c r="X19">
        <v>120.8174989437542</v>
      </c>
      <c r="Y19" s="3">
        <v>120.8174989437542</v>
      </c>
      <c r="Z19" s="4">
        <f t="shared" si="1"/>
        <v>0.87303458853224569</v>
      </c>
      <c r="AA19" s="5">
        <f t="shared" si="2"/>
        <v>220.27438270667653</v>
      </c>
      <c r="AB19" s="5">
        <f t="shared" si="3"/>
        <v>7.916666666666667</v>
      </c>
      <c r="AC19" s="5">
        <f t="shared" si="4"/>
        <v>28</v>
      </c>
      <c r="AD19" s="5">
        <f t="shared" si="5"/>
        <v>2</v>
      </c>
      <c r="AE19" s="5" t="str">
        <f t="shared" si="6"/>
        <v>Shortage</v>
      </c>
    </row>
    <row r="20" spans="1:31" x14ac:dyDescent="0.25">
      <c r="A20" t="s">
        <v>113</v>
      </c>
      <c r="B20" s="2">
        <v>45928</v>
      </c>
      <c r="C20" t="s">
        <v>114</v>
      </c>
      <c r="D20" t="s">
        <v>115</v>
      </c>
      <c r="E20" t="s">
        <v>116</v>
      </c>
      <c r="F20" t="s">
        <v>49</v>
      </c>
      <c r="G20" t="s">
        <v>43</v>
      </c>
      <c r="H20" t="s">
        <v>88</v>
      </c>
      <c r="I20">
        <v>8</v>
      </c>
      <c r="J20">
        <v>23</v>
      </c>
      <c r="K20">
        <v>10</v>
      </c>
      <c r="L20">
        <v>13</v>
      </c>
      <c r="M20">
        <v>1</v>
      </c>
      <c r="N20">
        <v>22</v>
      </c>
      <c r="O20">
        <v>2</v>
      </c>
      <c r="P20">
        <v>45</v>
      </c>
      <c r="Q20">
        <v>7.25</v>
      </c>
      <c r="R20">
        <v>159.5</v>
      </c>
      <c r="S20">
        <v>21975</v>
      </c>
      <c r="T20">
        <v>19461</v>
      </c>
      <c r="U20">
        <v>446</v>
      </c>
      <c r="V20">
        <v>19015</v>
      </c>
      <c r="W20" s="3">
        <f t="shared" si="0"/>
        <v>119.21630094043887</v>
      </c>
      <c r="X20">
        <v>124.78240035826239</v>
      </c>
      <c r="Y20" s="3">
        <v>124.78240035826239</v>
      </c>
      <c r="Z20" s="4">
        <f t="shared" si="1"/>
        <v>0.95539355388385938</v>
      </c>
      <c r="AA20" s="5">
        <f t="shared" si="2"/>
        <v>176.1065658050145</v>
      </c>
      <c r="AB20" s="5">
        <f t="shared" si="3"/>
        <v>7.25</v>
      </c>
      <c r="AC20" s="5">
        <f t="shared" si="4"/>
        <v>25</v>
      </c>
      <c r="AD20" s="5">
        <f t="shared" si="5"/>
        <v>3</v>
      </c>
      <c r="AE20" s="5" t="str">
        <f t="shared" si="6"/>
        <v>Shortage</v>
      </c>
    </row>
    <row r="21" spans="1:31" x14ac:dyDescent="0.25">
      <c r="A21" t="s">
        <v>117</v>
      </c>
      <c r="B21" s="2">
        <v>45928</v>
      </c>
      <c r="C21" t="s">
        <v>118</v>
      </c>
      <c r="D21" t="s">
        <v>119</v>
      </c>
      <c r="E21" t="s">
        <v>120</v>
      </c>
      <c r="F21" t="s">
        <v>35</v>
      </c>
      <c r="G21" t="s">
        <v>43</v>
      </c>
      <c r="H21" t="s">
        <v>37</v>
      </c>
      <c r="I21">
        <v>10</v>
      </c>
      <c r="J21">
        <v>21</v>
      </c>
      <c r="K21">
        <v>7</v>
      </c>
      <c r="L21">
        <v>14</v>
      </c>
      <c r="M21">
        <v>0</v>
      </c>
      <c r="N21">
        <v>21</v>
      </c>
      <c r="O21">
        <v>0</v>
      </c>
      <c r="P21">
        <v>7</v>
      </c>
      <c r="Q21">
        <v>9.8800000000000008</v>
      </c>
      <c r="R21">
        <v>207.48</v>
      </c>
      <c r="S21">
        <v>27225</v>
      </c>
      <c r="T21">
        <v>24514</v>
      </c>
      <c r="U21">
        <v>1033</v>
      </c>
      <c r="V21">
        <v>23481</v>
      </c>
      <c r="W21" s="3">
        <f t="shared" si="0"/>
        <v>113.17235396182765</v>
      </c>
      <c r="X21">
        <v>118.01656521145939</v>
      </c>
      <c r="Y21" s="3">
        <v>118.01656521145939</v>
      </c>
      <c r="Z21" s="4">
        <f t="shared" si="1"/>
        <v>0.9589531245808417</v>
      </c>
      <c r="AA21" s="5">
        <f t="shared" si="2"/>
        <v>230.68795428183208</v>
      </c>
      <c r="AB21" s="5">
        <f t="shared" si="3"/>
        <v>9.8833333333333329</v>
      </c>
      <c r="AC21" s="5">
        <f t="shared" si="4"/>
        <v>24</v>
      </c>
      <c r="AD21" s="5">
        <f t="shared" si="5"/>
        <v>3</v>
      </c>
      <c r="AE21" s="5" t="str">
        <f t="shared" si="6"/>
        <v>Shortage</v>
      </c>
    </row>
    <row r="22" spans="1:31" x14ac:dyDescent="0.25">
      <c r="A22" t="s">
        <v>121</v>
      </c>
      <c r="B22" s="2">
        <v>45929</v>
      </c>
      <c r="C22" t="s">
        <v>122</v>
      </c>
      <c r="D22" t="s">
        <v>123</v>
      </c>
      <c r="E22" t="s">
        <v>116</v>
      </c>
      <c r="F22" t="s">
        <v>42</v>
      </c>
      <c r="G22" t="s">
        <v>43</v>
      </c>
      <c r="H22" t="s">
        <v>74</v>
      </c>
      <c r="I22">
        <v>10</v>
      </c>
      <c r="J22">
        <v>19</v>
      </c>
      <c r="K22">
        <v>6</v>
      </c>
      <c r="L22">
        <v>13</v>
      </c>
      <c r="M22">
        <v>0</v>
      </c>
      <c r="N22">
        <v>19</v>
      </c>
      <c r="O22">
        <v>0</v>
      </c>
      <c r="P22">
        <v>53</v>
      </c>
      <c r="Q22">
        <v>9.1199999999999992</v>
      </c>
      <c r="R22">
        <v>173.28</v>
      </c>
      <c r="S22">
        <v>25611</v>
      </c>
      <c r="T22">
        <v>19977</v>
      </c>
      <c r="U22">
        <v>319</v>
      </c>
      <c r="V22">
        <v>19658</v>
      </c>
      <c r="W22" s="3">
        <f t="shared" si="0"/>
        <v>113.44644506001846</v>
      </c>
      <c r="X22">
        <v>115.1855592022217</v>
      </c>
      <c r="Y22" s="3">
        <v>115.1855592022217</v>
      </c>
      <c r="Z22" s="4">
        <f t="shared" si="1"/>
        <v>0.9849016304279079</v>
      </c>
      <c r="AA22" s="5">
        <f t="shared" si="2"/>
        <v>222.34558027397253</v>
      </c>
      <c r="AB22" s="5">
        <f t="shared" si="3"/>
        <v>9.1166666666666671</v>
      </c>
      <c r="AC22" s="5">
        <f t="shared" si="4"/>
        <v>25</v>
      </c>
      <c r="AD22" s="5">
        <f t="shared" si="5"/>
        <v>6</v>
      </c>
      <c r="AE22" s="5" t="str">
        <f t="shared" si="6"/>
        <v>Shortage</v>
      </c>
    </row>
    <row r="23" spans="1:31" x14ac:dyDescent="0.25">
      <c r="A23" t="s">
        <v>124</v>
      </c>
      <c r="B23" s="2">
        <v>45930</v>
      </c>
      <c r="C23" t="s">
        <v>125</v>
      </c>
      <c r="D23" t="s">
        <v>66</v>
      </c>
      <c r="E23" t="s">
        <v>67</v>
      </c>
      <c r="F23" t="s">
        <v>42</v>
      </c>
      <c r="G23" t="s">
        <v>36</v>
      </c>
      <c r="H23" t="s">
        <v>74</v>
      </c>
      <c r="I23">
        <v>10</v>
      </c>
      <c r="J23">
        <v>16</v>
      </c>
      <c r="K23">
        <v>5</v>
      </c>
      <c r="L23">
        <v>11</v>
      </c>
      <c r="M23">
        <v>3</v>
      </c>
      <c r="N23">
        <v>13</v>
      </c>
      <c r="O23">
        <v>0</v>
      </c>
      <c r="P23">
        <v>5</v>
      </c>
      <c r="Q23">
        <v>9.92</v>
      </c>
      <c r="R23">
        <v>128.96</v>
      </c>
      <c r="S23">
        <v>12604</v>
      </c>
      <c r="T23">
        <v>10999</v>
      </c>
      <c r="U23">
        <v>212</v>
      </c>
      <c r="V23">
        <v>10787</v>
      </c>
      <c r="W23" s="3">
        <f t="shared" si="0"/>
        <v>83.646091811414394</v>
      </c>
      <c r="X23">
        <v>112.98347693798689</v>
      </c>
      <c r="Y23" s="3">
        <v>112.98347693798689</v>
      </c>
      <c r="Z23" s="4">
        <f t="shared" si="1"/>
        <v>0.74033915470069245</v>
      </c>
      <c r="AA23" s="5">
        <f t="shared" si="2"/>
        <v>111.55613494633329</v>
      </c>
      <c r="AB23" s="5">
        <f t="shared" si="3"/>
        <v>9.9166666666666661</v>
      </c>
      <c r="AC23" s="5">
        <f t="shared" si="4"/>
        <v>12</v>
      </c>
      <c r="AD23" s="5">
        <f t="shared" si="5"/>
        <v>-1</v>
      </c>
      <c r="AE23" s="5" t="str">
        <f t="shared" si="6"/>
        <v>Surplus</v>
      </c>
    </row>
    <row r="24" spans="1:31" x14ac:dyDescent="0.25">
      <c r="A24" t="s">
        <v>126</v>
      </c>
      <c r="B24" s="2">
        <v>45931</v>
      </c>
      <c r="C24" t="s">
        <v>127</v>
      </c>
      <c r="D24" t="s">
        <v>47</v>
      </c>
      <c r="E24" t="s">
        <v>48</v>
      </c>
      <c r="F24" t="s">
        <v>49</v>
      </c>
      <c r="G24" t="s">
        <v>43</v>
      </c>
      <c r="H24" t="s">
        <v>88</v>
      </c>
      <c r="I24">
        <v>10</v>
      </c>
      <c r="J24">
        <v>25</v>
      </c>
      <c r="K24">
        <v>9</v>
      </c>
      <c r="L24">
        <v>16</v>
      </c>
      <c r="M24">
        <v>2</v>
      </c>
      <c r="N24">
        <v>23</v>
      </c>
      <c r="O24">
        <v>2</v>
      </c>
      <c r="P24">
        <v>35</v>
      </c>
      <c r="Q24">
        <v>9.42</v>
      </c>
      <c r="R24">
        <v>216.66</v>
      </c>
      <c r="S24">
        <v>25947</v>
      </c>
      <c r="T24">
        <v>24725</v>
      </c>
      <c r="U24">
        <v>159</v>
      </c>
      <c r="V24">
        <v>24566</v>
      </c>
      <c r="W24" s="3">
        <f t="shared" si="0"/>
        <v>113.38502723160713</v>
      </c>
      <c r="X24">
        <v>124.78240035826239</v>
      </c>
      <c r="Y24" s="3">
        <v>124.78240035826239</v>
      </c>
      <c r="Z24" s="4">
        <f t="shared" si="1"/>
        <v>0.90866201408265668</v>
      </c>
      <c r="AA24" s="5">
        <f t="shared" si="2"/>
        <v>207.93797783584577</v>
      </c>
      <c r="AB24" s="5">
        <f t="shared" si="3"/>
        <v>9.4166666666666661</v>
      </c>
      <c r="AC24" s="5">
        <f t="shared" si="4"/>
        <v>23</v>
      </c>
      <c r="AD24" s="5">
        <f t="shared" si="5"/>
        <v>0</v>
      </c>
      <c r="AE24" s="5" t="str">
        <f t="shared" si="6"/>
        <v>Balanced</v>
      </c>
    </row>
    <row r="25" spans="1:31" x14ac:dyDescent="0.25">
      <c r="A25" t="s">
        <v>128</v>
      </c>
      <c r="B25" s="2">
        <v>45932</v>
      </c>
      <c r="C25" t="s">
        <v>129</v>
      </c>
      <c r="D25" t="s">
        <v>130</v>
      </c>
      <c r="E25" t="s">
        <v>131</v>
      </c>
      <c r="F25" t="s">
        <v>35</v>
      </c>
      <c r="G25" t="s">
        <v>43</v>
      </c>
      <c r="H25" t="s">
        <v>69</v>
      </c>
      <c r="I25">
        <v>9</v>
      </c>
      <c r="J25">
        <v>22</v>
      </c>
      <c r="K25">
        <v>8</v>
      </c>
      <c r="L25">
        <v>14</v>
      </c>
      <c r="M25">
        <v>0</v>
      </c>
      <c r="N25">
        <v>22</v>
      </c>
      <c r="O25">
        <v>1</v>
      </c>
      <c r="P25">
        <v>6</v>
      </c>
      <c r="Q25">
        <v>8.9</v>
      </c>
      <c r="R25">
        <v>195.8</v>
      </c>
      <c r="S25">
        <v>26436</v>
      </c>
      <c r="T25">
        <v>22885</v>
      </c>
      <c r="U25">
        <v>245</v>
      </c>
      <c r="V25">
        <v>22640</v>
      </c>
      <c r="W25" s="3">
        <f t="shared" si="0"/>
        <v>115.62819203268641</v>
      </c>
      <c r="X25">
        <v>118.01656521145939</v>
      </c>
      <c r="Y25" s="3">
        <v>118.01656521145939</v>
      </c>
      <c r="Z25" s="4">
        <f t="shared" si="1"/>
        <v>0.97976239035178203</v>
      </c>
      <c r="AA25" s="5">
        <f t="shared" si="2"/>
        <v>224.00245213570295</v>
      </c>
      <c r="AB25" s="5">
        <f t="shared" si="3"/>
        <v>8.9</v>
      </c>
      <c r="AC25" s="5">
        <f t="shared" si="4"/>
        <v>26</v>
      </c>
      <c r="AD25" s="5">
        <f t="shared" si="5"/>
        <v>4</v>
      </c>
      <c r="AE25" s="5" t="str">
        <f t="shared" si="6"/>
        <v>Shortage</v>
      </c>
    </row>
    <row r="26" spans="1:31" x14ac:dyDescent="0.25">
      <c r="A26" t="s">
        <v>132</v>
      </c>
      <c r="B26" s="2">
        <v>45933</v>
      </c>
      <c r="C26" t="s">
        <v>133</v>
      </c>
      <c r="D26" t="s">
        <v>134</v>
      </c>
      <c r="E26" t="s">
        <v>135</v>
      </c>
      <c r="F26" t="s">
        <v>42</v>
      </c>
      <c r="G26" t="s">
        <v>36</v>
      </c>
      <c r="H26" t="s">
        <v>44</v>
      </c>
      <c r="I26">
        <v>8</v>
      </c>
      <c r="J26">
        <v>19</v>
      </c>
      <c r="K26">
        <v>7</v>
      </c>
      <c r="L26">
        <v>12</v>
      </c>
      <c r="M26">
        <v>0</v>
      </c>
      <c r="N26">
        <v>19</v>
      </c>
      <c r="O26">
        <v>2</v>
      </c>
      <c r="P26">
        <v>17</v>
      </c>
      <c r="Q26">
        <v>7.72</v>
      </c>
      <c r="R26">
        <v>146.68</v>
      </c>
      <c r="S26">
        <v>19192</v>
      </c>
      <c r="T26">
        <v>14847</v>
      </c>
      <c r="U26">
        <v>534</v>
      </c>
      <c r="V26">
        <v>14313</v>
      </c>
      <c r="W26" s="3">
        <f t="shared" si="0"/>
        <v>97.579765475865827</v>
      </c>
      <c r="X26">
        <v>112.98347693798689</v>
      </c>
      <c r="Y26" s="3">
        <v>112.98347693798689</v>
      </c>
      <c r="Z26" s="4">
        <f t="shared" si="1"/>
        <v>0.86366403407309122</v>
      </c>
      <c r="AA26" s="5">
        <f t="shared" si="2"/>
        <v>169.86554600841228</v>
      </c>
      <c r="AB26" s="5">
        <f t="shared" si="3"/>
        <v>7.7166666666666668</v>
      </c>
      <c r="AC26" s="5">
        <f t="shared" si="4"/>
        <v>23</v>
      </c>
      <c r="AD26" s="5">
        <f t="shared" si="5"/>
        <v>4</v>
      </c>
      <c r="AE26" s="5" t="str">
        <f t="shared" si="6"/>
        <v>Shortage</v>
      </c>
    </row>
    <row r="27" spans="1:31" x14ac:dyDescent="0.25">
      <c r="A27" t="s">
        <v>136</v>
      </c>
      <c r="B27" s="2">
        <v>45935</v>
      </c>
      <c r="C27" t="s">
        <v>137</v>
      </c>
      <c r="D27" t="s">
        <v>138</v>
      </c>
      <c r="E27" t="s">
        <v>139</v>
      </c>
      <c r="F27" t="s">
        <v>42</v>
      </c>
      <c r="G27" t="s">
        <v>36</v>
      </c>
      <c r="H27" t="s">
        <v>44</v>
      </c>
      <c r="I27">
        <v>8</v>
      </c>
      <c r="J27">
        <v>19</v>
      </c>
      <c r="K27">
        <v>8</v>
      </c>
      <c r="L27">
        <v>11</v>
      </c>
      <c r="M27">
        <v>1</v>
      </c>
      <c r="N27">
        <v>18</v>
      </c>
      <c r="O27">
        <v>0</v>
      </c>
      <c r="P27">
        <v>49</v>
      </c>
      <c r="Q27">
        <v>7.18</v>
      </c>
      <c r="R27">
        <v>129.24</v>
      </c>
      <c r="S27">
        <v>18036</v>
      </c>
      <c r="T27">
        <v>14262</v>
      </c>
      <c r="U27">
        <v>125</v>
      </c>
      <c r="V27">
        <v>14137</v>
      </c>
      <c r="W27" s="3">
        <f t="shared" si="0"/>
        <v>109.38563912101516</v>
      </c>
      <c r="X27">
        <v>112.98347693798689</v>
      </c>
      <c r="Y27" s="3">
        <v>112.98347693798689</v>
      </c>
      <c r="Z27" s="4">
        <f t="shared" si="1"/>
        <v>0.96815607100721046</v>
      </c>
      <c r="AA27" s="5">
        <f t="shared" si="2"/>
        <v>159.63396143224907</v>
      </c>
      <c r="AB27" s="5">
        <f t="shared" si="3"/>
        <v>7.1833333333333336</v>
      </c>
      <c r="AC27" s="5">
        <f t="shared" si="4"/>
        <v>23</v>
      </c>
      <c r="AD27" s="5">
        <f t="shared" si="5"/>
        <v>5</v>
      </c>
      <c r="AE27" s="5" t="str">
        <f t="shared" si="6"/>
        <v>Shortage</v>
      </c>
    </row>
    <row r="28" spans="1:31" x14ac:dyDescent="0.25">
      <c r="A28" t="s">
        <v>140</v>
      </c>
      <c r="B28" s="2">
        <v>45935</v>
      </c>
      <c r="C28" t="s">
        <v>141</v>
      </c>
      <c r="D28" t="s">
        <v>142</v>
      </c>
      <c r="E28" t="s">
        <v>143</v>
      </c>
      <c r="F28" t="s">
        <v>35</v>
      </c>
      <c r="G28" t="s">
        <v>43</v>
      </c>
      <c r="H28" t="s">
        <v>69</v>
      </c>
      <c r="I28">
        <v>8</v>
      </c>
      <c r="J28">
        <v>21</v>
      </c>
      <c r="K28">
        <v>8</v>
      </c>
      <c r="L28">
        <v>13</v>
      </c>
      <c r="M28">
        <v>1</v>
      </c>
      <c r="N28">
        <v>20</v>
      </c>
      <c r="O28">
        <v>0</v>
      </c>
      <c r="P28">
        <v>12</v>
      </c>
      <c r="Q28">
        <v>7.8</v>
      </c>
      <c r="R28">
        <v>156</v>
      </c>
      <c r="S28">
        <v>19937</v>
      </c>
      <c r="T28">
        <v>16437</v>
      </c>
      <c r="U28">
        <v>337</v>
      </c>
      <c r="V28">
        <v>16100</v>
      </c>
      <c r="W28" s="3">
        <f t="shared" si="0"/>
        <v>103.2051282051282</v>
      </c>
      <c r="X28">
        <v>118.01656521145939</v>
      </c>
      <c r="Y28" s="3">
        <v>118.01656521145939</v>
      </c>
      <c r="Z28" s="4">
        <f t="shared" si="1"/>
        <v>0.8744969659149765</v>
      </c>
      <c r="AA28" s="5">
        <f t="shared" si="2"/>
        <v>168.93391164433007</v>
      </c>
      <c r="AB28" s="5">
        <f t="shared" si="3"/>
        <v>7.8</v>
      </c>
      <c r="AC28" s="5">
        <f t="shared" si="4"/>
        <v>22</v>
      </c>
      <c r="AD28" s="5">
        <f t="shared" si="5"/>
        <v>2</v>
      </c>
      <c r="AE28" s="5" t="str">
        <f t="shared" si="6"/>
        <v>Shortage</v>
      </c>
    </row>
    <row r="29" spans="1:31" x14ac:dyDescent="0.25">
      <c r="A29" t="s">
        <v>144</v>
      </c>
      <c r="B29" s="2">
        <v>45936</v>
      </c>
      <c r="C29" t="s">
        <v>145</v>
      </c>
      <c r="D29" t="s">
        <v>146</v>
      </c>
      <c r="E29" t="s">
        <v>147</v>
      </c>
      <c r="F29" t="s">
        <v>42</v>
      </c>
      <c r="G29" t="s">
        <v>36</v>
      </c>
      <c r="H29" t="s">
        <v>37</v>
      </c>
      <c r="I29">
        <v>8</v>
      </c>
      <c r="J29">
        <v>17</v>
      </c>
      <c r="K29">
        <v>8</v>
      </c>
      <c r="L29">
        <v>9</v>
      </c>
      <c r="M29">
        <v>0</v>
      </c>
      <c r="N29">
        <v>17</v>
      </c>
      <c r="O29">
        <v>2</v>
      </c>
      <c r="P29">
        <v>40</v>
      </c>
      <c r="Q29">
        <v>7.33</v>
      </c>
      <c r="R29">
        <v>124.61</v>
      </c>
      <c r="S29">
        <v>16682</v>
      </c>
      <c r="T29">
        <v>13291</v>
      </c>
      <c r="U29">
        <v>120</v>
      </c>
      <c r="V29">
        <v>13171</v>
      </c>
      <c r="W29" s="3">
        <f t="shared" si="0"/>
        <v>105.69777706444106</v>
      </c>
      <c r="X29">
        <v>112.98347693798689</v>
      </c>
      <c r="Y29" s="3">
        <v>112.98347693798689</v>
      </c>
      <c r="Z29" s="4">
        <f t="shared" si="1"/>
        <v>0.93551535081944126</v>
      </c>
      <c r="AA29" s="5">
        <f t="shared" si="2"/>
        <v>147.64990821760804</v>
      </c>
      <c r="AB29" s="5">
        <f t="shared" si="3"/>
        <v>7.333333333333333</v>
      </c>
      <c r="AC29" s="5">
        <f t="shared" si="4"/>
        <v>21</v>
      </c>
      <c r="AD29" s="5">
        <f t="shared" si="5"/>
        <v>4</v>
      </c>
      <c r="AE29" s="5" t="str">
        <f t="shared" si="6"/>
        <v>Shortage</v>
      </c>
    </row>
    <row r="30" spans="1:31" x14ac:dyDescent="0.25">
      <c r="A30" t="s">
        <v>148</v>
      </c>
      <c r="B30" s="2">
        <v>45937</v>
      </c>
      <c r="C30" t="s">
        <v>149</v>
      </c>
      <c r="D30" t="s">
        <v>103</v>
      </c>
      <c r="E30" t="s">
        <v>104</v>
      </c>
      <c r="F30" t="s">
        <v>68</v>
      </c>
      <c r="G30" t="s">
        <v>79</v>
      </c>
      <c r="H30" t="s">
        <v>50</v>
      </c>
      <c r="I30">
        <v>8</v>
      </c>
      <c r="J30">
        <v>26</v>
      </c>
      <c r="K30">
        <v>9</v>
      </c>
      <c r="L30">
        <v>17</v>
      </c>
      <c r="M30">
        <v>0</v>
      </c>
      <c r="N30">
        <v>26</v>
      </c>
      <c r="O30">
        <v>0</v>
      </c>
      <c r="P30">
        <v>8</v>
      </c>
      <c r="Q30">
        <v>7.87</v>
      </c>
      <c r="R30">
        <v>204.62</v>
      </c>
      <c r="S30">
        <v>25599</v>
      </c>
      <c r="T30">
        <v>24165</v>
      </c>
      <c r="U30">
        <v>754</v>
      </c>
      <c r="V30">
        <v>23411</v>
      </c>
      <c r="W30" s="3">
        <f t="shared" si="0"/>
        <v>114.41208093050533</v>
      </c>
      <c r="X30">
        <v>114.6579540175248</v>
      </c>
      <c r="Y30" s="3">
        <v>114.6579540175248</v>
      </c>
      <c r="Z30" s="4">
        <f t="shared" si="1"/>
        <v>0.99785559502499155</v>
      </c>
      <c r="AA30" s="5">
        <f t="shared" si="2"/>
        <v>223.26405716333767</v>
      </c>
      <c r="AB30" s="5">
        <f t="shared" si="3"/>
        <v>7.8666666666666663</v>
      </c>
      <c r="AC30" s="5">
        <f t="shared" si="4"/>
        <v>29</v>
      </c>
      <c r="AD30" s="5">
        <f t="shared" si="5"/>
        <v>3</v>
      </c>
      <c r="AE30" s="5" t="str">
        <f t="shared" si="6"/>
        <v>Shortage</v>
      </c>
    </row>
    <row r="31" spans="1:31" x14ac:dyDescent="0.25">
      <c r="A31" t="s">
        <v>150</v>
      </c>
      <c r="B31" s="2">
        <v>45937</v>
      </c>
      <c r="C31" t="s">
        <v>151</v>
      </c>
      <c r="D31" t="s">
        <v>152</v>
      </c>
      <c r="E31" t="s">
        <v>153</v>
      </c>
      <c r="F31" t="s">
        <v>68</v>
      </c>
      <c r="G31" t="s">
        <v>79</v>
      </c>
      <c r="H31" t="s">
        <v>74</v>
      </c>
      <c r="I31">
        <v>8</v>
      </c>
      <c r="J31">
        <v>22</v>
      </c>
      <c r="K31">
        <v>10</v>
      </c>
      <c r="L31">
        <v>12</v>
      </c>
      <c r="M31">
        <v>1</v>
      </c>
      <c r="N31">
        <v>21</v>
      </c>
      <c r="O31">
        <v>2</v>
      </c>
      <c r="P31">
        <v>26</v>
      </c>
      <c r="Q31">
        <v>7.57</v>
      </c>
      <c r="R31">
        <v>158.97</v>
      </c>
      <c r="S31">
        <v>20378</v>
      </c>
      <c r="T31">
        <v>18568</v>
      </c>
      <c r="U31">
        <v>810</v>
      </c>
      <c r="V31">
        <v>17758</v>
      </c>
      <c r="W31" s="3">
        <f t="shared" si="0"/>
        <v>111.70661131031012</v>
      </c>
      <c r="X31">
        <v>114.6579540175248</v>
      </c>
      <c r="Y31" s="3">
        <v>114.6579540175248</v>
      </c>
      <c r="Z31" s="4">
        <f t="shared" si="1"/>
        <v>0.97425959033977194</v>
      </c>
      <c r="AA31" s="5">
        <f t="shared" si="2"/>
        <v>177.7286205271493</v>
      </c>
      <c r="AB31" s="5">
        <f t="shared" si="3"/>
        <v>7.5666666666666664</v>
      </c>
      <c r="AC31" s="5">
        <f t="shared" si="4"/>
        <v>24</v>
      </c>
      <c r="AD31" s="5">
        <f t="shared" si="5"/>
        <v>3</v>
      </c>
      <c r="AE31" s="5" t="str">
        <f t="shared" si="6"/>
        <v>Shortage</v>
      </c>
    </row>
    <row r="32" spans="1:31" x14ac:dyDescent="0.25">
      <c r="A32" t="s">
        <v>154</v>
      </c>
      <c r="B32" s="2">
        <v>45938</v>
      </c>
      <c r="C32" t="s">
        <v>155</v>
      </c>
      <c r="D32" t="s">
        <v>156</v>
      </c>
      <c r="E32" t="s">
        <v>157</v>
      </c>
      <c r="F32" t="s">
        <v>35</v>
      </c>
      <c r="G32" t="s">
        <v>36</v>
      </c>
      <c r="H32" t="s">
        <v>50</v>
      </c>
      <c r="I32">
        <v>10</v>
      </c>
      <c r="J32">
        <v>19</v>
      </c>
      <c r="K32">
        <v>8</v>
      </c>
      <c r="L32">
        <v>11</v>
      </c>
      <c r="M32">
        <v>0</v>
      </c>
      <c r="N32">
        <v>19</v>
      </c>
      <c r="O32">
        <v>1</v>
      </c>
      <c r="P32">
        <v>33</v>
      </c>
      <c r="Q32">
        <v>9.4499999999999993</v>
      </c>
      <c r="R32">
        <v>179.55</v>
      </c>
      <c r="S32">
        <v>21431</v>
      </c>
      <c r="T32">
        <v>19659</v>
      </c>
      <c r="U32">
        <v>342</v>
      </c>
      <c r="V32">
        <v>19317</v>
      </c>
      <c r="W32" s="3">
        <f t="shared" si="0"/>
        <v>107.58563074352547</v>
      </c>
      <c r="X32">
        <v>114.1563708384419</v>
      </c>
      <c r="Y32" s="3">
        <v>114.1563708384419</v>
      </c>
      <c r="Z32" s="4">
        <f t="shared" si="1"/>
        <v>0.94244088133972326</v>
      </c>
      <c r="AA32" s="5">
        <f t="shared" si="2"/>
        <v>187.73371860541977</v>
      </c>
      <c r="AB32" s="5">
        <f t="shared" si="3"/>
        <v>9.4499999999999993</v>
      </c>
      <c r="AC32" s="5">
        <f t="shared" si="4"/>
        <v>20</v>
      </c>
      <c r="AD32" s="5">
        <f t="shared" si="5"/>
        <v>1</v>
      </c>
      <c r="AE32" s="5" t="str">
        <f t="shared" si="6"/>
        <v>Shortage</v>
      </c>
    </row>
    <row r="33" spans="1:31" x14ac:dyDescent="0.25">
      <c r="A33" t="s">
        <v>158</v>
      </c>
      <c r="B33" s="2">
        <v>45939</v>
      </c>
      <c r="C33" t="s">
        <v>159</v>
      </c>
      <c r="D33" t="s">
        <v>160</v>
      </c>
      <c r="E33" t="s">
        <v>161</v>
      </c>
      <c r="F33" t="s">
        <v>35</v>
      </c>
      <c r="G33" t="s">
        <v>36</v>
      </c>
      <c r="H33" t="s">
        <v>74</v>
      </c>
      <c r="I33">
        <v>10</v>
      </c>
      <c r="J33">
        <v>21</v>
      </c>
      <c r="K33">
        <v>7</v>
      </c>
      <c r="L33">
        <v>14</v>
      </c>
      <c r="M33">
        <v>1</v>
      </c>
      <c r="N33">
        <v>20</v>
      </c>
      <c r="O33">
        <v>0</v>
      </c>
      <c r="P33">
        <v>13</v>
      </c>
      <c r="Q33">
        <v>9.7799999999999994</v>
      </c>
      <c r="R33">
        <v>195.6</v>
      </c>
      <c r="S33">
        <v>25015</v>
      </c>
      <c r="T33">
        <v>20504</v>
      </c>
      <c r="U33">
        <v>125</v>
      </c>
      <c r="V33">
        <v>20379</v>
      </c>
      <c r="W33" s="3">
        <f t="shared" si="0"/>
        <v>104.18711656441718</v>
      </c>
      <c r="X33">
        <v>114.1563708384419</v>
      </c>
      <c r="Y33" s="3">
        <v>114.1563708384419</v>
      </c>
      <c r="Z33" s="4">
        <f t="shared" si="1"/>
        <v>0.91267018913790143</v>
      </c>
      <c r="AA33" s="5">
        <f t="shared" si="2"/>
        <v>219.12925066093862</v>
      </c>
      <c r="AB33" s="5">
        <f t="shared" si="3"/>
        <v>9.7833333333333332</v>
      </c>
      <c r="AC33" s="5">
        <f t="shared" si="4"/>
        <v>23</v>
      </c>
      <c r="AD33" s="5">
        <f t="shared" si="5"/>
        <v>3</v>
      </c>
      <c r="AE33" s="5" t="str">
        <f t="shared" si="6"/>
        <v>Shortage</v>
      </c>
    </row>
    <row r="34" spans="1:31" x14ac:dyDescent="0.25">
      <c r="A34" t="s">
        <v>162</v>
      </c>
      <c r="B34" s="2">
        <v>45939</v>
      </c>
      <c r="C34" t="s">
        <v>163</v>
      </c>
      <c r="D34" t="s">
        <v>130</v>
      </c>
      <c r="E34" t="s">
        <v>131</v>
      </c>
      <c r="F34" t="s">
        <v>49</v>
      </c>
      <c r="G34" t="s">
        <v>43</v>
      </c>
      <c r="H34" t="s">
        <v>50</v>
      </c>
      <c r="I34">
        <v>9</v>
      </c>
      <c r="J34">
        <v>23</v>
      </c>
      <c r="K34">
        <v>11</v>
      </c>
      <c r="L34">
        <v>12</v>
      </c>
      <c r="M34">
        <v>0</v>
      </c>
      <c r="N34">
        <v>23</v>
      </c>
      <c r="O34">
        <v>0</v>
      </c>
      <c r="P34">
        <v>54</v>
      </c>
      <c r="Q34">
        <v>8.1</v>
      </c>
      <c r="R34">
        <v>186.3</v>
      </c>
      <c r="S34">
        <v>27604</v>
      </c>
      <c r="T34">
        <v>20283</v>
      </c>
      <c r="U34">
        <v>554</v>
      </c>
      <c r="V34">
        <v>19729</v>
      </c>
      <c r="W34" s="3">
        <f t="shared" si="0"/>
        <v>105.89908749329038</v>
      </c>
      <c r="X34">
        <v>124.78240035826239</v>
      </c>
      <c r="Y34" s="3">
        <v>124.78240035826239</v>
      </c>
      <c r="Z34" s="4">
        <f t="shared" si="1"/>
        <v>0.84867006235850417</v>
      </c>
      <c r="AA34" s="5">
        <f t="shared" si="2"/>
        <v>221.21709408335016</v>
      </c>
      <c r="AB34" s="5">
        <f t="shared" si="3"/>
        <v>8.1</v>
      </c>
      <c r="AC34" s="5">
        <f t="shared" si="4"/>
        <v>28</v>
      </c>
      <c r="AD34" s="5">
        <f t="shared" si="5"/>
        <v>5</v>
      </c>
      <c r="AE34" s="5" t="str">
        <f t="shared" si="6"/>
        <v>Shortage</v>
      </c>
    </row>
    <row r="35" spans="1:31" x14ac:dyDescent="0.25">
      <c r="A35" t="s">
        <v>164</v>
      </c>
      <c r="B35" s="2">
        <v>45940</v>
      </c>
      <c r="C35" t="s">
        <v>165</v>
      </c>
      <c r="D35" t="s">
        <v>166</v>
      </c>
      <c r="E35" t="s">
        <v>167</v>
      </c>
      <c r="F35" t="s">
        <v>55</v>
      </c>
      <c r="G35" t="s">
        <v>36</v>
      </c>
      <c r="H35" t="s">
        <v>74</v>
      </c>
      <c r="I35">
        <v>8</v>
      </c>
      <c r="J35">
        <v>18</v>
      </c>
      <c r="K35">
        <v>6</v>
      </c>
      <c r="L35">
        <v>12</v>
      </c>
      <c r="M35">
        <v>2</v>
      </c>
      <c r="N35">
        <v>16</v>
      </c>
      <c r="O35">
        <v>2</v>
      </c>
      <c r="P35">
        <v>16</v>
      </c>
      <c r="Q35">
        <v>7.73</v>
      </c>
      <c r="R35">
        <v>123.68</v>
      </c>
      <c r="S35">
        <v>13237</v>
      </c>
      <c r="T35">
        <v>12371</v>
      </c>
      <c r="U35">
        <v>371</v>
      </c>
      <c r="V35">
        <v>12000</v>
      </c>
      <c r="W35" s="3">
        <f t="shared" si="0"/>
        <v>97.024579560155232</v>
      </c>
      <c r="X35">
        <v>108.32817332835501</v>
      </c>
      <c r="Y35" s="3">
        <v>108.32817332835501</v>
      </c>
      <c r="Z35" s="4">
        <f t="shared" si="1"/>
        <v>0.89565416437017453</v>
      </c>
      <c r="AA35" s="5">
        <f t="shared" si="2"/>
        <v>122.1935124843022</v>
      </c>
      <c r="AB35" s="5">
        <f t="shared" si="3"/>
        <v>7.7333333333333334</v>
      </c>
      <c r="AC35" s="5">
        <f t="shared" si="4"/>
        <v>16</v>
      </c>
      <c r="AD35" s="5">
        <f t="shared" si="5"/>
        <v>0</v>
      </c>
      <c r="AE35" s="5" t="str">
        <f t="shared" si="6"/>
        <v>Balanced</v>
      </c>
    </row>
    <row r="36" spans="1:31" x14ac:dyDescent="0.25">
      <c r="A36" t="s">
        <v>168</v>
      </c>
      <c r="B36" s="2">
        <v>45940</v>
      </c>
      <c r="C36" t="s">
        <v>169</v>
      </c>
      <c r="D36" t="s">
        <v>170</v>
      </c>
      <c r="E36" t="s">
        <v>171</v>
      </c>
      <c r="F36" t="s">
        <v>35</v>
      </c>
      <c r="G36" t="s">
        <v>43</v>
      </c>
      <c r="H36" t="s">
        <v>37</v>
      </c>
      <c r="I36">
        <v>10</v>
      </c>
      <c r="J36">
        <v>23</v>
      </c>
      <c r="K36">
        <v>7</v>
      </c>
      <c r="L36">
        <v>16</v>
      </c>
      <c r="M36">
        <v>0</v>
      </c>
      <c r="N36">
        <v>23</v>
      </c>
      <c r="O36">
        <v>2</v>
      </c>
      <c r="P36">
        <v>33</v>
      </c>
      <c r="Q36">
        <v>9.4499999999999993</v>
      </c>
      <c r="R36">
        <v>217.35</v>
      </c>
      <c r="S36">
        <v>30116</v>
      </c>
      <c r="T36">
        <v>28115</v>
      </c>
      <c r="U36">
        <v>501</v>
      </c>
      <c r="V36">
        <v>27614</v>
      </c>
      <c r="W36" s="3">
        <f t="shared" si="0"/>
        <v>127.04853922245226</v>
      </c>
      <c r="X36">
        <v>118.01656521145939</v>
      </c>
      <c r="Y36" s="3">
        <v>118.01656521145939</v>
      </c>
      <c r="Z36" s="4">
        <f t="shared" si="1"/>
        <v>1.0765314089154314</v>
      </c>
      <c r="AA36" s="5">
        <f t="shared" si="2"/>
        <v>255.18451537747126</v>
      </c>
      <c r="AB36" s="5">
        <f t="shared" si="3"/>
        <v>9.4499999999999993</v>
      </c>
      <c r="AC36" s="5">
        <f t="shared" si="4"/>
        <v>28</v>
      </c>
      <c r="AD36" s="5">
        <f t="shared" si="5"/>
        <v>5</v>
      </c>
      <c r="AE36" s="5" t="str">
        <f t="shared" si="6"/>
        <v>Shortage</v>
      </c>
    </row>
    <row r="37" spans="1:31" x14ac:dyDescent="0.25">
      <c r="A37" t="s">
        <v>172</v>
      </c>
      <c r="B37" s="2">
        <v>45940</v>
      </c>
      <c r="C37" t="s">
        <v>173</v>
      </c>
      <c r="D37" t="s">
        <v>174</v>
      </c>
      <c r="E37" t="s">
        <v>175</v>
      </c>
      <c r="F37" t="s">
        <v>35</v>
      </c>
      <c r="G37" t="s">
        <v>43</v>
      </c>
      <c r="H37" t="s">
        <v>37</v>
      </c>
      <c r="I37">
        <v>8</v>
      </c>
      <c r="J37">
        <v>19</v>
      </c>
      <c r="K37">
        <v>8</v>
      </c>
      <c r="L37">
        <v>11</v>
      </c>
      <c r="M37">
        <v>0</v>
      </c>
      <c r="N37">
        <v>19</v>
      </c>
      <c r="O37">
        <v>0</v>
      </c>
      <c r="P37">
        <v>50</v>
      </c>
      <c r="Q37">
        <v>7.17</v>
      </c>
      <c r="R37">
        <v>136.22999999999999</v>
      </c>
      <c r="S37">
        <v>19948</v>
      </c>
      <c r="T37">
        <v>15557</v>
      </c>
      <c r="U37">
        <v>582</v>
      </c>
      <c r="V37">
        <v>14975</v>
      </c>
      <c r="W37" s="3">
        <f t="shared" si="0"/>
        <v>109.92439257138663</v>
      </c>
      <c r="X37">
        <v>118.01656521145939</v>
      </c>
      <c r="Y37" s="3">
        <v>118.01656521145939</v>
      </c>
      <c r="Z37" s="4">
        <f t="shared" si="1"/>
        <v>0.93143189156900652</v>
      </c>
      <c r="AA37" s="5">
        <f t="shared" si="2"/>
        <v>169.02711889858537</v>
      </c>
      <c r="AB37" s="5">
        <f t="shared" si="3"/>
        <v>7.166666666666667</v>
      </c>
      <c r="AC37" s="5">
        <f t="shared" si="4"/>
        <v>24</v>
      </c>
      <c r="AD37" s="5">
        <f t="shared" si="5"/>
        <v>5</v>
      </c>
      <c r="AE37" s="5" t="str">
        <f t="shared" si="6"/>
        <v>Shortage</v>
      </c>
    </row>
    <row r="38" spans="1:31" x14ac:dyDescent="0.25">
      <c r="A38" t="s">
        <v>176</v>
      </c>
      <c r="B38" s="2">
        <v>45941</v>
      </c>
      <c r="C38" t="s">
        <v>177</v>
      </c>
      <c r="D38" t="s">
        <v>178</v>
      </c>
      <c r="E38" t="s">
        <v>179</v>
      </c>
      <c r="F38" t="s">
        <v>49</v>
      </c>
      <c r="G38" t="s">
        <v>43</v>
      </c>
      <c r="H38" t="s">
        <v>69</v>
      </c>
      <c r="I38">
        <v>8</v>
      </c>
      <c r="J38">
        <v>26</v>
      </c>
      <c r="K38">
        <v>8</v>
      </c>
      <c r="L38">
        <v>18</v>
      </c>
      <c r="M38">
        <v>1</v>
      </c>
      <c r="N38">
        <v>25</v>
      </c>
      <c r="O38">
        <v>0</v>
      </c>
      <c r="P38">
        <v>30</v>
      </c>
      <c r="Q38">
        <v>7.5</v>
      </c>
      <c r="R38">
        <v>187.5</v>
      </c>
      <c r="S38">
        <v>27331</v>
      </c>
      <c r="T38">
        <v>24246</v>
      </c>
      <c r="U38">
        <v>581</v>
      </c>
      <c r="V38">
        <v>23665</v>
      </c>
      <c r="W38" s="3">
        <f t="shared" si="0"/>
        <v>126.21333333333334</v>
      </c>
      <c r="X38">
        <v>124.78240035826239</v>
      </c>
      <c r="Y38" s="3">
        <v>124.78240035826239</v>
      </c>
      <c r="Z38" s="4">
        <f t="shared" si="1"/>
        <v>1.0114674262633401</v>
      </c>
      <c r="AA38" s="5">
        <f t="shared" si="2"/>
        <v>219.02928555253018</v>
      </c>
      <c r="AB38" s="5">
        <f t="shared" si="3"/>
        <v>7.5</v>
      </c>
      <c r="AC38" s="5">
        <f t="shared" si="4"/>
        <v>30</v>
      </c>
      <c r="AD38" s="5">
        <f t="shared" si="5"/>
        <v>5</v>
      </c>
      <c r="AE38" s="5" t="str">
        <f t="shared" si="6"/>
        <v>Shortage</v>
      </c>
    </row>
    <row r="39" spans="1:31" x14ac:dyDescent="0.25">
      <c r="A39" t="s">
        <v>180</v>
      </c>
      <c r="B39" s="2">
        <v>45941</v>
      </c>
      <c r="C39" t="s">
        <v>181</v>
      </c>
      <c r="D39" t="s">
        <v>182</v>
      </c>
      <c r="E39" t="s">
        <v>183</v>
      </c>
      <c r="F39" t="s">
        <v>35</v>
      </c>
      <c r="G39" t="s">
        <v>43</v>
      </c>
      <c r="H39" t="s">
        <v>74</v>
      </c>
      <c r="I39">
        <v>8</v>
      </c>
      <c r="J39">
        <v>20</v>
      </c>
      <c r="K39">
        <v>8</v>
      </c>
      <c r="L39">
        <v>12</v>
      </c>
      <c r="M39">
        <v>2</v>
      </c>
      <c r="N39">
        <v>18</v>
      </c>
      <c r="O39">
        <v>1</v>
      </c>
      <c r="P39">
        <v>53</v>
      </c>
      <c r="Q39">
        <v>7.12</v>
      </c>
      <c r="R39">
        <v>128.16</v>
      </c>
      <c r="S39">
        <v>17796</v>
      </c>
      <c r="T39">
        <v>13869</v>
      </c>
      <c r="U39">
        <v>393</v>
      </c>
      <c r="V39">
        <v>13476</v>
      </c>
      <c r="W39" s="3">
        <f t="shared" si="0"/>
        <v>105.1498127340824</v>
      </c>
      <c r="X39">
        <v>118.01656521145939</v>
      </c>
      <c r="Y39" s="3">
        <v>118.01656521145939</v>
      </c>
      <c r="Z39" s="4">
        <f t="shared" si="1"/>
        <v>0.89097503003648137</v>
      </c>
      <c r="AA39" s="5">
        <f t="shared" si="2"/>
        <v>150.7923906115513</v>
      </c>
      <c r="AB39" s="5">
        <f t="shared" si="3"/>
        <v>7.1166666666666671</v>
      </c>
      <c r="AC39" s="5">
        <f t="shared" si="4"/>
        <v>22</v>
      </c>
      <c r="AD39" s="5">
        <f t="shared" si="5"/>
        <v>4</v>
      </c>
      <c r="AE39" s="5" t="str">
        <f t="shared" si="6"/>
        <v>Shortage</v>
      </c>
    </row>
    <row r="40" spans="1:31" x14ac:dyDescent="0.25">
      <c r="A40" t="s">
        <v>184</v>
      </c>
      <c r="B40" s="2">
        <v>45942</v>
      </c>
      <c r="C40" t="s">
        <v>185</v>
      </c>
      <c r="D40" t="s">
        <v>186</v>
      </c>
      <c r="E40" t="s">
        <v>187</v>
      </c>
      <c r="F40" t="s">
        <v>35</v>
      </c>
      <c r="G40" t="s">
        <v>36</v>
      </c>
      <c r="H40" t="s">
        <v>74</v>
      </c>
      <c r="I40">
        <v>8</v>
      </c>
      <c r="J40">
        <v>19</v>
      </c>
      <c r="K40">
        <v>7</v>
      </c>
      <c r="L40">
        <v>12</v>
      </c>
      <c r="M40">
        <v>0</v>
      </c>
      <c r="N40">
        <v>19</v>
      </c>
      <c r="O40">
        <v>3</v>
      </c>
      <c r="P40">
        <v>57</v>
      </c>
      <c r="Q40">
        <v>7.05</v>
      </c>
      <c r="R40">
        <v>133.94999999999999</v>
      </c>
      <c r="S40">
        <v>14340</v>
      </c>
      <c r="T40">
        <v>12954</v>
      </c>
      <c r="U40">
        <v>342</v>
      </c>
      <c r="V40">
        <v>12612</v>
      </c>
      <c r="W40" s="3">
        <f t="shared" si="0"/>
        <v>94.154535274356107</v>
      </c>
      <c r="X40">
        <v>114.1563708384419</v>
      </c>
      <c r="Y40" s="3">
        <v>114.1563708384419</v>
      </c>
      <c r="Z40" s="4">
        <f t="shared" si="1"/>
        <v>0.82478563905650881</v>
      </c>
      <c r="AA40" s="5">
        <f t="shared" si="2"/>
        <v>125.61716787838736</v>
      </c>
      <c r="AB40" s="5">
        <f t="shared" si="3"/>
        <v>7.05</v>
      </c>
      <c r="AC40" s="5">
        <f t="shared" si="4"/>
        <v>18</v>
      </c>
      <c r="AD40" s="5">
        <f t="shared" si="5"/>
        <v>-1</v>
      </c>
      <c r="AE40" s="5" t="str">
        <f t="shared" si="6"/>
        <v>Surplus</v>
      </c>
    </row>
    <row r="41" spans="1:31" x14ac:dyDescent="0.25">
      <c r="A41" t="s">
        <v>188</v>
      </c>
      <c r="B41" s="2">
        <v>45944</v>
      </c>
      <c r="C41" t="s">
        <v>189</v>
      </c>
      <c r="D41" t="s">
        <v>190</v>
      </c>
      <c r="E41" t="s">
        <v>108</v>
      </c>
      <c r="F41" t="s">
        <v>35</v>
      </c>
      <c r="G41" t="s">
        <v>36</v>
      </c>
      <c r="H41" t="s">
        <v>88</v>
      </c>
      <c r="I41">
        <v>8</v>
      </c>
      <c r="J41">
        <v>21</v>
      </c>
      <c r="K41">
        <v>8</v>
      </c>
      <c r="L41">
        <v>13</v>
      </c>
      <c r="M41">
        <v>0</v>
      </c>
      <c r="N41">
        <v>21</v>
      </c>
      <c r="O41">
        <v>2</v>
      </c>
      <c r="P41">
        <v>13</v>
      </c>
      <c r="Q41">
        <v>7.78</v>
      </c>
      <c r="R41">
        <v>163.38</v>
      </c>
      <c r="S41">
        <v>19840</v>
      </c>
      <c r="T41">
        <v>18848</v>
      </c>
      <c r="U41">
        <v>217</v>
      </c>
      <c r="V41">
        <v>18631</v>
      </c>
      <c r="W41" s="3">
        <f t="shared" si="0"/>
        <v>114.03476557718203</v>
      </c>
      <c r="X41">
        <v>114.1563708384419</v>
      </c>
      <c r="Y41" s="3">
        <v>114.1563708384419</v>
      </c>
      <c r="Z41" s="4">
        <f t="shared" si="1"/>
        <v>0.9989347483599319</v>
      </c>
      <c r="AA41" s="5">
        <f t="shared" si="2"/>
        <v>173.79669530733651</v>
      </c>
      <c r="AB41" s="5">
        <f t="shared" si="3"/>
        <v>7.7833333333333332</v>
      </c>
      <c r="AC41" s="5">
        <f t="shared" si="4"/>
        <v>23</v>
      </c>
      <c r="AD41" s="5">
        <f t="shared" si="5"/>
        <v>2</v>
      </c>
      <c r="AE41" s="5" t="str">
        <f t="shared" si="6"/>
        <v>Shortage</v>
      </c>
    </row>
    <row r="42" spans="1:31" x14ac:dyDescent="0.25">
      <c r="A42" t="s">
        <v>191</v>
      </c>
      <c r="B42" s="2">
        <v>45944</v>
      </c>
      <c r="C42" t="s">
        <v>192</v>
      </c>
      <c r="D42" t="s">
        <v>193</v>
      </c>
      <c r="E42" t="s">
        <v>135</v>
      </c>
      <c r="F42" t="s">
        <v>42</v>
      </c>
      <c r="G42" t="s">
        <v>43</v>
      </c>
      <c r="H42" t="s">
        <v>69</v>
      </c>
      <c r="I42">
        <v>9</v>
      </c>
      <c r="J42">
        <v>18</v>
      </c>
      <c r="K42">
        <v>8</v>
      </c>
      <c r="L42">
        <v>10</v>
      </c>
      <c r="M42">
        <v>2</v>
      </c>
      <c r="N42">
        <v>16</v>
      </c>
      <c r="O42">
        <v>0</v>
      </c>
      <c r="P42">
        <v>32</v>
      </c>
      <c r="Q42">
        <v>8.4700000000000006</v>
      </c>
      <c r="R42">
        <v>135.52000000000001</v>
      </c>
      <c r="S42">
        <v>18244</v>
      </c>
      <c r="T42">
        <v>14387</v>
      </c>
      <c r="U42">
        <v>396</v>
      </c>
      <c r="V42">
        <v>13991</v>
      </c>
      <c r="W42" s="3">
        <f t="shared" si="0"/>
        <v>103.23937426210152</v>
      </c>
      <c r="X42">
        <v>115.1855592022217</v>
      </c>
      <c r="Y42" s="3">
        <v>115.1855592022217</v>
      </c>
      <c r="Z42" s="4">
        <f t="shared" si="1"/>
        <v>0.89628747715547175</v>
      </c>
      <c r="AA42" s="5">
        <f t="shared" si="2"/>
        <v>158.38791013698625</v>
      </c>
      <c r="AB42" s="5">
        <f t="shared" si="3"/>
        <v>8.4666666666666668</v>
      </c>
      <c r="AC42" s="5">
        <f t="shared" si="4"/>
        <v>19</v>
      </c>
      <c r="AD42" s="5">
        <f t="shared" si="5"/>
        <v>3</v>
      </c>
      <c r="AE42" s="5" t="str">
        <f t="shared" si="6"/>
        <v>Shortage</v>
      </c>
    </row>
    <row r="43" spans="1:31" x14ac:dyDescent="0.25">
      <c r="A43" t="s">
        <v>194</v>
      </c>
      <c r="B43" s="2">
        <v>45944</v>
      </c>
      <c r="C43" t="s">
        <v>195</v>
      </c>
      <c r="D43" t="s">
        <v>178</v>
      </c>
      <c r="E43" t="s">
        <v>179</v>
      </c>
      <c r="F43" t="s">
        <v>42</v>
      </c>
      <c r="G43" t="s">
        <v>43</v>
      </c>
      <c r="H43" t="s">
        <v>69</v>
      </c>
      <c r="I43">
        <v>9</v>
      </c>
      <c r="J43">
        <v>20</v>
      </c>
      <c r="K43">
        <v>10</v>
      </c>
      <c r="L43">
        <v>10</v>
      </c>
      <c r="M43">
        <v>1</v>
      </c>
      <c r="N43">
        <v>19</v>
      </c>
      <c r="O43">
        <v>0</v>
      </c>
      <c r="P43">
        <v>11</v>
      </c>
      <c r="Q43">
        <v>8.82</v>
      </c>
      <c r="R43">
        <v>167.58</v>
      </c>
      <c r="S43">
        <v>20269</v>
      </c>
      <c r="T43">
        <v>18218</v>
      </c>
      <c r="U43">
        <v>163</v>
      </c>
      <c r="V43">
        <v>18055</v>
      </c>
      <c r="W43" s="3">
        <f t="shared" si="0"/>
        <v>107.73958706289532</v>
      </c>
      <c r="X43">
        <v>115.1855592022217</v>
      </c>
      <c r="Y43" s="3">
        <v>115.1855592022217</v>
      </c>
      <c r="Z43" s="4">
        <f t="shared" si="1"/>
        <v>0.93535672187644547</v>
      </c>
      <c r="AA43" s="5">
        <f t="shared" si="2"/>
        <v>175.96823890410954</v>
      </c>
      <c r="AB43" s="5">
        <f t="shared" si="3"/>
        <v>8.8166666666666664</v>
      </c>
      <c r="AC43" s="5">
        <f t="shared" si="4"/>
        <v>20</v>
      </c>
      <c r="AD43" s="5">
        <f t="shared" si="5"/>
        <v>1</v>
      </c>
      <c r="AE43" s="5" t="str">
        <f t="shared" si="6"/>
        <v>Shortage</v>
      </c>
    </row>
    <row r="44" spans="1:31" x14ac:dyDescent="0.25">
      <c r="A44" t="s">
        <v>196</v>
      </c>
      <c r="B44" s="2">
        <v>45944</v>
      </c>
      <c r="C44" t="s">
        <v>197</v>
      </c>
      <c r="D44" t="s">
        <v>198</v>
      </c>
      <c r="E44" t="s">
        <v>199</v>
      </c>
      <c r="F44" t="s">
        <v>55</v>
      </c>
      <c r="G44" t="s">
        <v>43</v>
      </c>
      <c r="H44" t="s">
        <v>44</v>
      </c>
      <c r="I44">
        <v>8</v>
      </c>
      <c r="J44">
        <v>16</v>
      </c>
      <c r="K44">
        <v>7</v>
      </c>
      <c r="L44">
        <v>9</v>
      </c>
      <c r="M44">
        <v>0</v>
      </c>
      <c r="N44">
        <v>16</v>
      </c>
      <c r="O44">
        <v>0</v>
      </c>
      <c r="P44">
        <v>42</v>
      </c>
      <c r="Q44">
        <v>7.3</v>
      </c>
      <c r="R44">
        <v>116.8</v>
      </c>
      <c r="S44">
        <v>12182</v>
      </c>
      <c r="T44">
        <v>9870</v>
      </c>
      <c r="U44">
        <v>166</v>
      </c>
      <c r="V44">
        <v>9704</v>
      </c>
      <c r="W44" s="3">
        <f t="shared" si="0"/>
        <v>83.082191780821915</v>
      </c>
      <c r="X44">
        <v>109.38855294136761</v>
      </c>
      <c r="Y44" s="3">
        <v>109.38855294136761</v>
      </c>
      <c r="Z44" s="4">
        <f t="shared" si="1"/>
        <v>0.75951449714627883</v>
      </c>
      <c r="AA44" s="5">
        <f t="shared" si="2"/>
        <v>111.36448625049064</v>
      </c>
      <c r="AB44" s="5">
        <f t="shared" si="3"/>
        <v>7.3</v>
      </c>
      <c r="AC44" s="5">
        <f t="shared" si="4"/>
        <v>16</v>
      </c>
      <c r="AD44" s="5">
        <f t="shared" si="5"/>
        <v>0</v>
      </c>
      <c r="AE44" s="5" t="str">
        <f t="shared" si="6"/>
        <v>Balanced</v>
      </c>
    </row>
    <row r="45" spans="1:31" x14ac:dyDescent="0.25">
      <c r="A45" t="s">
        <v>200</v>
      </c>
      <c r="B45" s="2">
        <v>45945</v>
      </c>
      <c r="C45" t="s">
        <v>201</v>
      </c>
      <c r="D45" t="s">
        <v>134</v>
      </c>
      <c r="E45" t="s">
        <v>135</v>
      </c>
      <c r="F45" t="s">
        <v>68</v>
      </c>
      <c r="G45" t="s">
        <v>43</v>
      </c>
      <c r="H45" t="s">
        <v>69</v>
      </c>
      <c r="I45">
        <v>9</v>
      </c>
      <c r="J45">
        <v>29</v>
      </c>
      <c r="K45">
        <v>13</v>
      </c>
      <c r="L45">
        <v>16</v>
      </c>
      <c r="M45">
        <v>1</v>
      </c>
      <c r="N45">
        <v>28</v>
      </c>
      <c r="O45">
        <v>0</v>
      </c>
      <c r="P45">
        <v>53</v>
      </c>
      <c r="Q45">
        <v>8.1199999999999992</v>
      </c>
      <c r="R45">
        <v>227.36</v>
      </c>
      <c r="S45">
        <v>35282</v>
      </c>
      <c r="T45">
        <v>24478</v>
      </c>
      <c r="U45">
        <v>678</v>
      </c>
      <c r="V45">
        <v>23800</v>
      </c>
      <c r="W45" s="3">
        <f t="shared" si="0"/>
        <v>104.67980295566502</v>
      </c>
      <c r="X45">
        <v>128.22014138735929</v>
      </c>
      <c r="Y45" s="3">
        <v>128.22014138735929</v>
      </c>
      <c r="Z45" s="4">
        <f t="shared" si="1"/>
        <v>0.81640685950752656</v>
      </c>
      <c r="AA45" s="5">
        <f t="shared" si="2"/>
        <v>275.16737712378091</v>
      </c>
      <c r="AB45" s="5">
        <f t="shared" si="3"/>
        <v>8.1166666666666671</v>
      </c>
      <c r="AC45" s="5">
        <f t="shared" si="4"/>
        <v>34</v>
      </c>
      <c r="AD45" s="5">
        <f t="shared" si="5"/>
        <v>6</v>
      </c>
      <c r="AE45" s="5" t="str">
        <f t="shared" si="6"/>
        <v>Shortage</v>
      </c>
    </row>
    <row r="46" spans="1:31" x14ac:dyDescent="0.25">
      <c r="A46" t="s">
        <v>202</v>
      </c>
      <c r="B46" s="2">
        <v>45946</v>
      </c>
      <c r="C46" t="s">
        <v>203</v>
      </c>
      <c r="D46" t="s">
        <v>204</v>
      </c>
      <c r="E46" t="s">
        <v>205</v>
      </c>
      <c r="F46" t="s">
        <v>49</v>
      </c>
      <c r="G46" t="s">
        <v>43</v>
      </c>
      <c r="H46" t="s">
        <v>74</v>
      </c>
      <c r="I46">
        <v>8</v>
      </c>
      <c r="J46">
        <v>26</v>
      </c>
      <c r="K46">
        <v>9</v>
      </c>
      <c r="L46">
        <v>17</v>
      </c>
      <c r="M46">
        <v>0</v>
      </c>
      <c r="N46">
        <v>26</v>
      </c>
      <c r="O46">
        <v>1</v>
      </c>
      <c r="P46">
        <v>57</v>
      </c>
      <c r="Q46">
        <v>7.05</v>
      </c>
      <c r="R46">
        <v>183.3</v>
      </c>
      <c r="S46">
        <v>27009</v>
      </c>
      <c r="T46">
        <v>21134</v>
      </c>
      <c r="U46">
        <v>600</v>
      </c>
      <c r="V46">
        <v>20534</v>
      </c>
      <c r="W46" s="3">
        <f t="shared" si="0"/>
        <v>112.02400436442989</v>
      </c>
      <c r="X46">
        <v>124.78240035826239</v>
      </c>
      <c r="Y46" s="3">
        <v>124.78240035826239</v>
      </c>
      <c r="Z46" s="4">
        <f t="shared" si="1"/>
        <v>0.89775484397477601</v>
      </c>
      <c r="AA46" s="5">
        <f t="shared" si="2"/>
        <v>216.44879343925535</v>
      </c>
      <c r="AB46" s="5">
        <f t="shared" si="3"/>
        <v>7.05</v>
      </c>
      <c r="AC46" s="5">
        <f t="shared" si="4"/>
        <v>31</v>
      </c>
      <c r="AD46" s="5">
        <f t="shared" si="5"/>
        <v>5</v>
      </c>
      <c r="AE46" s="5" t="str">
        <f t="shared" si="6"/>
        <v>Shortage</v>
      </c>
    </row>
    <row r="47" spans="1:31" x14ac:dyDescent="0.25">
      <c r="A47" t="s">
        <v>206</v>
      </c>
      <c r="B47" s="2">
        <v>45946</v>
      </c>
      <c r="C47" t="s">
        <v>207</v>
      </c>
      <c r="D47" t="s">
        <v>208</v>
      </c>
      <c r="E47" t="s">
        <v>209</v>
      </c>
      <c r="F47" t="s">
        <v>49</v>
      </c>
      <c r="G47" t="s">
        <v>43</v>
      </c>
      <c r="H47" t="s">
        <v>69</v>
      </c>
      <c r="I47">
        <v>8</v>
      </c>
      <c r="J47">
        <v>24</v>
      </c>
      <c r="K47">
        <v>8</v>
      </c>
      <c r="L47">
        <v>16</v>
      </c>
      <c r="M47">
        <v>0</v>
      </c>
      <c r="N47">
        <v>24</v>
      </c>
      <c r="O47">
        <v>0</v>
      </c>
      <c r="P47">
        <v>30</v>
      </c>
      <c r="Q47">
        <v>7.5</v>
      </c>
      <c r="R47">
        <v>180</v>
      </c>
      <c r="S47">
        <v>24808</v>
      </c>
      <c r="T47">
        <v>23956</v>
      </c>
      <c r="U47">
        <v>409</v>
      </c>
      <c r="V47">
        <v>23547</v>
      </c>
      <c r="W47" s="3">
        <f t="shared" si="0"/>
        <v>130.81666666666666</v>
      </c>
      <c r="X47">
        <v>124.78240035826239</v>
      </c>
      <c r="Y47" s="3">
        <v>124.78240035826239</v>
      </c>
      <c r="Z47" s="4">
        <f t="shared" si="1"/>
        <v>1.0483583124789979</v>
      </c>
      <c r="AA47" s="5">
        <f t="shared" si="2"/>
        <v>198.8100880314357</v>
      </c>
      <c r="AB47" s="5">
        <f t="shared" si="3"/>
        <v>7.5</v>
      </c>
      <c r="AC47" s="5">
        <f t="shared" si="4"/>
        <v>27</v>
      </c>
      <c r="AD47" s="5">
        <f t="shared" si="5"/>
        <v>3</v>
      </c>
      <c r="AE47" s="5" t="str">
        <f t="shared" si="6"/>
        <v>Shortage</v>
      </c>
    </row>
    <row r="48" spans="1:31" x14ac:dyDescent="0.25">
      <c r="A48" t="s">
        <v>210</v>
      </c>
      <c r="B48" s="2">
        <v>45946</v>
      </c>
      <c r="C48" t="s">
        <v>211</v>
      </c>
      <c r="D48" t="s">
        <v>58</v>
      </c>
      <c r="E48" t="s">
        <v>59</v>
      </c>
      <c r="F48" t="s">
        <v>68</v>
      </c>
      <c r="G48" t="s">
        <v>43</v>
      </c>
      <c r="H48" t="s">
        <v>37</v>
      </c>
      <c r="I48">
        <v>8</v>
      </c>
      <c r="J48">
        <v>26</v>
      </c>
      <c r="K48">
        <v>10</v>
      </c>
      <c r="L48">
        <v>16</v>
      </c>
      <c r="M48">
        <v>0</v>
      </c>
      <c r="N48">
        <v>26</v>
      </c>
      <c r="O48">
        <v>0</v>
      </c>
      <c r="P48">
        <v>50</v>
      </c>
      <c r="Q48">
        <v>7.17</v>
      </c>
      <c r="R48">
        <v>186.42</v>
      </c>
      <c r="S48">
        <v>18678</v>
      </c>
      <c r="T48">
        <v>15890</v>
      </c>
      <c r="U48">
        <v>347</v>
      </c>
      <c r="V48">
        <v>15543</v>
      </c>
      <c r="W48" s="3">
        <f t="shared" si="0"/>
        <v>83.376247183778574</v>
      </c>
      <c r="X48">
        <v>128.22014138735929</v>
      </c>
      <c r="Y48" s="3">
        <v>128.22014138735929</v>
      </c>
      <c r="Z48" s="4">
        <f t="shared" si="1"/>
        <v>0.65025858091900612</v>
      </c>
      <c r="AA48" s="5">
        <f t="shared" si="2"/>
        <v>145.67134147491581</v>
      </c>
      <c r="AB48" s="5">
        <f t="shared" si="3"/>
        <v>7.166666666666667</v>
      </c>
      <c r="AC48" s="5">
        <f t="shared" si="4"/>
        <v>21</v>
      </c>
      <c r="AD48" s="5">
        <f t="shared" si="5"/>
        <v>-5</v>
      </c>
      <c r="AE48" s="5" t="str">
        <f t="shared" si="6"/>
        <v>Surplus</v>
      </c>
    </row>
    <row r="49" spans="1:31" x14ac:dyDescent="0.25">
      <c r="A49" t="s">
        <v>212</v>
      </c>
      <c r="B49" s="2">
        <v>45946</v>
      </c>
      <c r="C49" t="s">
        <v>213</v>
      </c>
      <c r="D49" t="s">
        <v>134</v>
      </c>
      <c r="E49" t="s">
        <v>135</v>
      </c>
      <c r="F49" t="s">
        <v>68</v>
      </c>
      <c r="G49" t="s">
        <v>79</v>
      </c>
      <c r="H49" t="s">
        <v>50</v>
      </c>
      <c r="I49">
        <v>8</v>
      </c>
      <c r="J49">
        <v>20</v>
      </c>
      <c r="K49">
        <v>9</v>
      </c>
      <c r="L49">
        <v>11</v>
      </c>
      <c r="M49">
        <v>0</v>
      </c>
      <c r="N49">
        <v>20</v>
      </c>
      <c r="O49">
        <v>2</v>
      </c>
      <c r="P49">
        <v>52</v>
      </c>
      <c r="Q49">
        <v>7.13</v>
      </c>
      <c r="R49">
        <v>142.6</v>
      </c>
      <c r="S49">
        <v>20908</v>
      </c>
      <c r="T49">
        <v>14997</v>
      </c>
      <c r="U49">
        <v>257</v>
      </c>
      <c r="V49">
        <v>14740</v>
      </c>
      <c r="W49" s="3">
        <f t="shared" si="0"/>
        <v>103.36605890603086</v>
      </c>
      <c r="X49">
        <v>114.6579540175248</v>
      </c>
      <c r="Y49" s="3">
        <v>114.6579540175248</v>
      </c>
      <c r="Z49" s="4">
        <f t="shared" si="1"/>
        <v>0.90151668754033376</v>
      </c>
      <c r="AA49" s="5">
        <f t="shared" si="2"/>
        <v>182.35106477483745</v>
      </c>
      <c r="AB49" s="5">
        <f t="shared" si="3"/>
        <v>7.1333333333333329</v>
      </c>
      <c r="AC49" s="5">
        <f t="shared" si="4"/>
        <v>26</v>
      </c>
      <c r="AD49" s="5">
        <f t="shared" si="5"/>
        <v>6</v>
      </c>
      <c r="AE49" s="5" t="str">
        <f t="shared" si="6"/>
        <v>Shortage</v>
      </c>
    </row>
    <row r="50" spans="1:31" x14ac:dyDescent="0.25">
      <c r="A50" t="s">
        <v>214</v>
      </c>
      <c r="B50" s="2">
        <v>45947</v>
      </c>
      <c r="C50" t="s">
        <v>215</v>
      </c>
      <c r="D50" t="s">
        <v>216</v>
      </c>
      <c r="E50" t="s">
        <v>217</v>
      </c>
      <c r="F50" t="s">
        <v>68</v>
      </c>
      <c r="G50" t="s">
        <v>43</v>
      </c>
      <c r="H50" t="s">
        <v>50</v>
      </c>
      <c r="I50">
        <v>8</v>
      </c>
      <c r="J50">
        <v>27</v>
      </c>
      <c r="K50">
        <v>11</v>
      </c>
      <c r="L50">
        <v>16</v>
      </c>
      <c r="M50">
        <v>1</v>
      </c>
      <c r="N50">
        <v>26</v>
      </c>
      <c r="O50">
        <v>0</v>
      </c>
      <c r="P50">
        <v>48</v>
      </c>
      <c r="Q50">
        <v>7.2</v>
      </c>
      <c r="R50">
        <v>187.2</v>
      </c>
      <c r="S50">
        <v>27801</v>
      </c>
      <c r="T50">
        <v>20827</v>
      </c>
      <c r="U50">
        <v>524</v>
      </c>
      <c r="V50">
        <v>20303</v>
      </c>
      <c r="W50" s="3">
        <f t="shared" si="0"/>
        <v>108.45619658119659</v>
      </c>
      <c r="X50">
        <v>128.22014138735929</v>
      </c>
      <c r="Y50" s="3">
        <v>128.22014138735929</v>
      </c>
      <c r="Z50" s="4">
        <f t="shared" si="1"/>
        <v>0.84585928082503936</v>
      </c>
      <c r="AA50" s="5">
        <f t="shared" si="2"/>
        <v>216.82240948410612</v>
      </c>
      <c r="AB50" s="5">
        <f t="shared" si="3"/>
        <v>7.2</v>
      </c>
      <c r="AC50" s="5">
        <f t="shared" si="4"/>
        <v>31</v>
      </c>
      <c r="AD50" s="5">
        <f t="shared" si="5"/>
        <v>5</v>
      </c>
      <c r="AE50" s="5" t="str">
        <f t="shared" si="6"/>
        <v>Shortage</v>
      </c>
    </row>
    <row r="51" spans="1:31" x14ac:dyDescent="0.25">
      <c r="A51" t="s">
        <v>218</v>
      </c>
      <c r="B51" s="2">
        <v>45948</v>
      </c>
      <c r="C51" t="s">
        <v>219</v>
      </c>
      <c r="D51" t="s">
        <v>220</v>
      </c>
      <c r="E51" t="s">
        <v>221</v>
      </c>
      <c r="F51" t="s">
        <v>55</v>
      </c>
      <c r="G51" t="s">
        <v>43</v>
      </c>
      <c r="H51" t="s">
        <v>74</v>
      </c>
      <c r="I51">
        <v>8</v>
      </c>
      <c r="J51">
        <v>18</v>
      </c>
      <c r="K51">
        <v>8</v>
      </c>
      <c r="L51">
        <v>10</v>
      </c>
      <c r="M51">
        <v>0</v>
      </c>
      <c r="N51">
        <v>18</v>
      </c>
      <c r="O51">
        <v>1</v>
      </c>
      <c r="P51">
        <v>38</v>
      </c>
      <c r="Q51">
        <v>7.37</v>
      </c>
      <c r="R51">
        <v>132.66</v>
      </c>
      <c r="S51">
        <v>14899</v>
      </c>
      <c r="T51">
        <v>12031</v>
      </c>
      <c r="U51">
        <v>171</v>
      </c>
      <c r="V51">
        <v>11860</v>
      </c>
      <c r="W51" s="3">
        <f t="shared" si="0"/>
        <v>89.401477461178956</v>
      </c>
      <c r="X51">
        <v>109.38855294136761</v>
      </c>
      <c r="Y51" s="3">
        <v>109.38855294136761</v>
      </c>
      <c r="Z51" s="4">
        <f t="shared" si="1"/>
        <v>0.81728366503850047</v>
      </c>
      <c r="AA51" s="5">
        <f t="shared" si="2"/>
        <v>136.2025513582384</v>
      </c>
      <c r="AB51" s="5">
        <f t="shared" si="3"/>
        <v>7.3666666666666671</v>
      </c>
      <c r="AC51" s="5">
        <f t="shared" si="4"/>
        <v>19</v>
      </c>
      <c r="AD51" s="5">
        <f t="shared" si="5"/>
        <v>1</v>
      </c>
      <c r="AE51" s="5" t="str">
        <f t="shared" si="6"/>
        <v>Shortage</v>
      </c>
    </row>
    <row r="52" spans="1:31" x14ac:dyDescent="0.25">
      <c r="A52" t="s">
        <v>222</v>
      </c>
      <c r="B52" s="2">
        <v>45948</v>
      </c>
      <c r="C52" t="s">
        <v>223</v>
      </c>
      <c r="D52" t="s">
        <v>224</v>
      </c>
      <c r="E52" t="s">
        <v>225</v>
      </c>
      <c r="F52" t="s">
        <v>68</v>
      </c>
      <c r="G52" t="s">
        <v>79</v>
      </c>
      <c r="H52" t="s">
        <v>50</v>
      </c>
      <c r="I52">
        <v>8</v>
      </c>
      <c r="J52">
        <v>26</v>
      </c>
      <c r="K52">
        <v>10</v>
      </c>
      <c r="L52">
        <v>16</v>
      </c>
      <c r="M52">
        <v>0</v>
      </c>
      <c r="N52">
        <v>26</v>
      </c>
      <c r="O52">
        <v>1</v>
      </c>
      <c r="P52">
        <v>22</v>
      </c>
      <c r="Q52">
        <v>7.63</v>
      </c>
      <c r="R52">
        <v>198.38</v>
      </c>
      <c r="S52">
        <v>26130</v>
      </c>
      <c r="T52">
        <v>23828</v>
      </c>
      <c r="U52">
        <v>840</v>
      </c>
      <c r="V52">
        <v>22988</v>
      </c>
      <c r="W52" s="3">
        <f t="shared" si="0"/>
        <v>115.87861679604799</v>
      </c>
      <c r="X52">
        <v>114.6579540175248</v>
      </c>
      <c r="Y52" s="3">
        <v>114.6579540175248</v>
      </c>
      <c r="Z52" s="4">
        <f t="shared" si="1"/>
        <v>1.0106461238470785</v>
      </c>
      <c r="AA52" s="5">
        <f t="shared" si="2"/>
        <v>227.895223003946</v>
      </c>
      <c r="AB52" s="5">
        <f t="shared" si="3"/>
        <v>7.6333333333333337</v>
      </c>
      <c r="AC52" s="5">
        <f t="shared" si="4"/>
        <v>30</v>
      </c>
      <c r="AD52" s="5">
        <f t="shared" si="5"/>
        <v>4</v>
      </c>
      <c r="AE52" s="5" t="str">
        <f t="shared" si="6"/>
        <v>Shortage</v>
      </c>
    </row>
    <row r="53" spans="1:31" x14ac:dyDescent="0.25">
      <c r="A53" t="s">
        <v>226</v>
      </c>
      <c r="B53" s="2">
        <v>45949</v>
      </c>
      <c r="C53" t="s">
        <v>227</v>
      </c>
      <c r="D53" t="s">
        <v>228</v>
      </c>
      <c r="E53" t="s">
        <v>229</v>
      </c>
      <c r="F53" t="s">
        <v>68</v>
      </c>
      <c r="G53" t="s">
        <v>36</v>
      </c>
      <c r="H53" t="s">
        <v>74</v>
      </c>
      <c r="I53">
        <v>8</v>
      </c>
      <c r="J53">
        <v>22</v>
      </c>
      <c r="K53">
        <v>8</v>
      </c>
      <c r="L53">
        <v>14</v>
      </c>
      <c r="M53">
        <v>0</v>
      </c>
      <c r="N53">
        <v>22</v>
      </c>
      <c r="O53">
        <v>0</v>
      </c>
      <c r="P53">
        <v>5</v>
      </c>
      <c r="Q53">
        <v>7.92</v>
      </c>
      <c r="R53">
        <v>174.24</v>
      </c>
      <c r="S53">
        <v>22035</v>
      </c>
      <c r="T53">
        <v>20240</v>
      </c>
      <c r="U53">
        <v>612</v>
      </c>
      <c r="V53">
        <v>19628</v>
      </c>
      <c r="W53" s="3">
        <f t="shared" si="0"/>
        <v>112.64921946740128</v>
      </c>
      <c r="X53">
        <v>120.8174989437542</v>
      </c>
      <c r="Y53" s="3">
        <v>120.8174989437542</v>
      </c>
      <c r="Z53" s="4">
        <f t="shared" si="1"/>
        <v>0.93239158608840589</v>
      </c>
      <c r="AA53" s="5">
        <f t="shared" si="2"/>
        <v>182.38252068318556</v>
      </c>
      <c r="AB53" s="5">
        <f t="shared" si="3"/>
        <v>7.916666666666667</v>
      </c>
      <c r="AC53" s="5">
        <f t="shared" si="4"/>
        <v>24</v>
      </c>
      <c r="AD53" s="5">
        <f t="shared" si="5"/>
        <v>2</v>
      </c>
      <c r="AE53" s="5" t="str">
        <f t="shared" si="6"/>
        <v>Shortage</v>
      </c>
    </row>
    <row r="54" spans="1:31" x14ac:dyDescent="0.25">
      <c r="A54" t="s">
        <v>230</v>
      </c>
      <c r="B54" s="2">
        <v>45949</v>
      </c>
      <c r="C54" t="s">
        <v>231</v>
      </c>
      <c r="D54" t="s">
        <v>47</v>
      </c>
      <c r="E54" t="s">
        <v>48</v>
      </c>
      <c r="F54" t="s">
        <v>55</v>
      </c>
      <c r="G54" t="s">
        <v>43</v>
      </c>
      <c r="H54" t="s">
        <v>74</v>
      </c>
      <c r="I54">
        <v>8</v>
      </c>
      <c r="J54">
        <v>19</v>
      </c>
      <c r="K54">
        <v>8</v>
      </c>
      <c r="L54">
        <v>11</v>
      </c>
      <c r="M54">
        <v>0</v>
      </c>
      <c r="N54">
        <v>19</v>
      </c>
      <c r="O54">
        <v>2</v>
      </c>
      <c r="P54">
        <v>43</v>
      </c>
      <c r="Q54">
        <v>7.28</v>
      </c>
      <c r="R54">
        <v>138.32</v>
      </c>
      <c r="S54">
        <v>15196</v>
      </c>
      <c r="T54">
        <v>12479</v>
      </c>
      <c r="U54">
        <v>507</v>
      </c>
      <c r="V54">
        <v>11972</v>
      </c>
      <c r="W54" s="3">
        <f t="shared" si="0"/>
        <v>86.552920763447077</v>
      </c>
      <c r="X54">
        <v>109.38855294136761</v>
      </c>
      <c r="Y54" s="3">
        <v>109.38855294136761</v>
      </c>
      <c r="Z54" s="4">
        <f t="shared" si="1"/>
        <v>0.79124294486132885</v>
      </c>
      <c r="AA54" s="5">
        <f t="shared" si="2"/>
        <v>138.91764349552255</v>
      </c>
      <c r="AB54" s="5">
        <f t="shared" si="3"/>
        <v>7.2833333333333332</v>
      </c>
      <c r="AC54" s="5">
        <f t="shared" si="4"/>
        <v>20</v>
      </c>
      <c r="AD54" s="5">
        <f t="shared" si="5"/>
        <v>1</v>
      </c>
      <c r="AE54" s="5" t="str">
        <f t="shared" si="6"/>
        <v>Shortage</v>
      </c>
    </row>
    <row r="55" spans="1:31" x14ac:dyDescent="0.25">
      <c r="A55" t="s">
        <v>232</v>
      </c>
      <c r="B55" s="2">
        <v>45951</v>
      </c>
      <c r="C55" t="s">
        <v>233</v>
      </c>
      <c r="D55" t="s">
        <v>198</v>
      </c>
      <c r="E55" t="s">
        <v>199</v>
      </c>
      <c r="F55" t="s">
        <v>55</v>
      </c>
      <c r="G55" t="s">
        <v>36</v>
      </c>
      <c r="H55" t="s">
        <v>69</v>
      </c>
      <c r="I55">
        <v>8</v>
      </c>
      <c r="J55">
        <v>19</v>
      </c>
      <c r="K55">
        <v>9</v>
      </c>
      <c r="L55">
        <v>10</v>
      </c>
      <c r="M55">
        <v>0</v>
      </c>
      <c r="N55">
        <v>19</v>
      </c>
      <c r="O55">
        <v>2</v>
      </c>
      <c r="P55">
        <v>41</v>
      </c>
      <c r="Q55">
        <v>7.32</v>
      </c>
      <c r="R55">
        <v>139.08000000000001</v>
      </c>
      <c r="S55">
        <v>14067</v>
      </c>
      <c r="T55">
        <v>12130</v>
      </c>
      <c r="U55">
        <v>357</v>
      </c>
      <c r="V55">
        <v>11773</v>
      </c>
      <c r="W55" s="3">
        <f t="shared" si="0"/>
        <v>84.649122807017534</v>
      </c>
      <c r="X55">
        <v>108.32817332835501</v>
      </c>
      <c r="Y55" s="3">
        <v>108.32817332835501</v>
      </c>
      <c r="Z55" s="4">
        <f t="shared" si="1"/>
        <v>0.78141373759194133</v>
      </c>
      <c r="AA55" s="5">
        <f t="shared" si="2"/>
        <v>129.85541588854568</v>
      </c>
      <c r="AB55" s="5">
        <f t="shared" si="3"/>
        <v>7.3166666666666664</v>
      </c>
      <c r="AC55" s="5">
        <f t="shared" si="4"/>
        <v>18</v>
      </c>
      <c r="AD55" s="5">
        <f t="shared" si="5"/>
        <v>-1</v>
      </c>
      <c r="AE55" s="5" t="str">
        <f t="shared" si="6"/>
        <v>Surplus</v>
      </c>
    </row>
    <row r="56" spans="1:31" x14ac:dyDescent="0.25">
      <c r="A56" t="s">
        <v>234</v>
      </c>
      <c r="B56" s="2">
        <v>45951</v>
      </c>
      <c r="C56" t="s">
        <v>235</v>
      </c>
      <c r="D56" t="s">
        <v>236</v>
      </c>
      <c r="E56" t="s">
        <v>237</v>
      </c>
      <c r="F56" t="s">
        <v>55</v>
      </c>
      <c r="G56" t="s">
        <v>36</v>
      </c>
      <c r="H56" t="s">
        <v>88</v>
      </c>
      <c r="I56">
        <v>9</v>
      </c>
      <c r="J56">
        <v>16</v>
      </c>
      <c r="K56">
        <v>6</v>
      </c>
      <c r="L56">
        <v>10</v>
      </c>
      <c r="M56">
        <v>1</v>
      </c>
      <c r="N56">
        <v>15</v>
      </c>
      <c r="O56">
        <v>0</v>
      </c>
      <c r="P56">
        <v>29</v>
      </c>
      <c r="Q56">
        <v>8.52</v>
      </c>
      <c r="R56">
        <v>127.8</v>
      </c>
      <c r="S56">
        <v>14054</v>
      </c>
      <c r="T56">
        <v>11208</v>
      </c>
      <c r="U56">
        <v>253</v>
      </c>
      <c r="V56">
        <v>10955</v>
      </c>
      <c r="W56" s="3">
        <f t="shared" si="0"/>
        <v>85.719874804381845</v>
      </c>
      <c r="X56">
        <v>108.32817332835501</v>
      </c>
      <c r="Y56" s="3">
        <v>108.32817332835501</v>
      </c>
      <c r="Z56" s="4">
        <f t="shared" si="1"/>
        <v>0.79129807298194865</v>
      </c>
      <c r="AA56" s="5">
        <f t="shared" si="2"/>
        <v>129.7354101725756</v>
      </c>
      <c r="AB56" s="5">
        <f t="shared" si="3"/>
        <v>8.5166666666666675</v>
      </c>
      <c r="AC56" s="5">
        <f t="shared" si="4"/>
        <v>16</v>
      </c>
      <c r="AD56" s="5">
        <f t="shared" si="5"/>
        <v>1</v>
      </c>
      <c r="AE56" s="5" t="str">
        <f t="shared" si="6"/>
        <v>Shortage</v>
      </c>
    </row>
    <row r="57" spans="1:31" x14ac:dyDescent="0.25">
      <c r="A57" t="s">
        <v>238</v>
      </c>
      <c r="B57" s="2">
        <v>45952</v>
      </c>
      <c r="C57" t="s">
        <v>239</v>
      </c>
      <c r="D57" t="s">
        <v>170</v>
      </c>
      <c r="E57" t="s">
        <v>171</v>
      </c>
      <c r="F57" t="s">
        <v>55</v>
      </c>
      <c r="G57" t="s">
        <v>43</v>
      </c>
      <c r="H57" t="s">
        <v>74</v>
      </c>
      <c r="I57">
        <v>10</v>
      </c>
      <c r="J57">
        <v>21</v>
      </c>
      <c r="K57">
        <v>9</v>
      </c>
      <c r="L57">
        <v>12</v>
      </c>
      <c r="M57">
        <v>3</v>
      </c>
      <c r="N57">
        <v>18</v>
      </c>
      <c r="O57">
        <v>3</v>
      </c>
      <c r="P57">
        <v>50</v>
      </c>
      <c r="Q57">
        <v>9.17</v>
      </c>
      <c r="R57">
        <v>165.06</v>
      </c>
      <c r="S57">
        <v>19795</v>
      </c>
      <c r="T57">
        <v>14638</v>
      </c>
      <c r="U57">
        <v>223</v>
      </c>
      <c r="V57">
        <v>14415</v>
      </c>
      <c r="W57" s="3">
        <f t="shared" si="0"/>
        <v>87.331879316612145</v>
      </c>
      <c r="X57">
        <v>109.38855294136761</v>
      </c>
      <c r="Y57" s="3">
        <v>109.38855294136761</v>
      </c>
      <c r="Z57" s="4">
        <f t="shared" si="1"/>
        <v>0.7983639692484289</v>
      </c>
      <c r="AA57" s="5">
        <f t="shared" si="2"/>
        <v>180.96043386377133</v>
      </c>
      <c r="AB57" s="5">
        <f t="shared" si="3"/>
        <v>9.1666666666666661</v>
      </c>
      <c r="AC57" s="5">
        <f t="shared" si="4"/>
        <v>20</v>
      </c>
      <c r="AD57" s="5">
        <f t="shared" si="5"/>
        <v>2</v>
      </c>
      <c r="AE57" s="5" t="str">
        <f t="shared" si="6"/>
        <v>Shortage</v>
      </c>
    </row>
    <row r="58" spans="1:31" x14ac:dyDescent="0.25">
      <c r="A58" t="s">
        <v>240</v>
      </c>
      <c r="B58" s="2">
        <v>45952</v>
      </c>
      <c r="C58" t="s">
        <v>241</v>
      </c>
      <c r="D58" t="s">
        <v>170</v>
      </c>
      <c r="E58" t="s">
        <v>171</v>
      </c>
      <c r="F58" t="s">
        <v>35</v>
      </c>
      <c r="G58" t="s">
        <v>79</v>
      </c>
      <c r="H58" t="s">
        <v>37</v>
      </c>
      <c r="I58">
        <v>8</v>
      </c>
      <c r="J58">
        <v>15</v>
      </c>
      <c r="K58">
        <v>5</v>
      </c>
      <c r="L58">
        <v>10</v>
      </c>
      <c r="M58">
        <v>2</v>
      </c>
      <c r="N58">
        <v>13</v>
      </c>
      <c r="O58">
        <v>0</v>
      </c>
      <c r="P58">
        <v>12</v>
      </c>
      <c r="Q58">
        <v>7.8</v>
      </c>
      <c r="R58">
        <v>101.4</v>
      </c>
      <c r="S58">
        <v>11952</v>
      </c>
      <c r="T58">
        <v>9566</v>
      </c>
      <c r="U58">
        <v>199</v>
      </c>
      <c r="V58">
        <v>9367</v>
      </c>
      <c r="W58" s="3">
        <f t="shared" si="0"/>
        <v>92.376725838264292</v>
      </c>
      <c r="X58">
        <v>100.6650131940286</v>
      </c>
      <c r="Y58" s="3">
        <v>100.6650131940286</v>
      </c>
      <c r="Z58" s="4">
        <f t="shared" si="1"/>
        <v>0.91766466726836959</v>
      </c>
      <c r="AA58" s="5">
        <f t="shared" si="2"/>
        <v>118.73042699515571</v>
      </c>
      <c r="AB58" s="5">
        <f t="shared" si="3"/>
        <v>7.8</v>
      </c>
      <c r="AC58" s="5">
        <f t="shared" si="4"/>
        <v>16</v>
      </c>
      <c r="AD58" s="5">
        <f t="shared" si="5"/>
        <v>3</v>
      </c>
      <c r="AE58" s="5" t="str">
        <f t="shared" si="6"/>
        <v>Shortage</v>
      </c>
    </row>
    <row r="59" spans="1:31" x14ac:dyDescent="0.25">
      <c r="A59" t="s">
        <v>242</v>
      </c>
      <c r="B59" s="2">
        <v>45955</v>
      </c>
      <c r="C59" t="s">
        <v>243</v>
      </c>
      <c r="D59" t="s">
        <v>152</v>
      </c>
      <c r="E59" t="s">
        <v>153</v>
      </c>
      <c r="F59" t="s">
        <v>35</v>
      </c>
      <c r="G59" t="s">
        <v>79</v>
      </c>
      <c r="H59" t="s">
        <v>74</v>
      </c>
      <c r="I59">
        <v>8</v>
      </c>
      <c r="J59">
        <v>17</v>
      </c>
      <c r="K59">
        <v>7</v>
      </c>
      <c r="L59">
        <v>10</v>
      </c>
      <c r="M59">
        <v>0</v>
      </c>
      <c r="N59">
        <v>17</v>
      </c>
      <c r="O59">
        <v>0</v>
      </c>
      <c r="P59">
        <v>33</v>
      </c>
      <c r="Q59">
        <v>7.45</v>
      </c>
      <c r="R59">
        <v>126.65</v>
      </c>
      <c r="S59">
        <v>14929</v>
      </c>
      <c r="T59">
        <v>11136</v>
      </c>
      <c r="U59">
        <v>221</v>
      </c>
      <c r="V59">
        <v>10915</v>
      </c>
      <c r="W59" s="3">
        <f t="shared" si="0"/>
        <v>86.182392420055265</v>
      </c>
      <c r="X59">
        <v>100.6650131940286</v>
      </c>
      <c r="Y59" s="3">
        <v>100.6650131940286</v>
      </c>
      <c r="Z59" s="4">
        <f t="shared" si="1"/>
        <v>0.85613054313062531</v>
      </c>
      <c r="AA59" s="5">
        <f t="shared" si="2"/>
        <v>148.30376042592701</v>
      </c>
      <c r="AB59" s="5">
        <f t="shared" si="3"/>
        <v>7.45</v>
      </c>
      <c r="AC59" s="5">
        <f t="shared" si="4"/>
        <v>20</v>
      </c>
      <c r="AD59" s="5">
        <f t="shared" si="5"/>
        <v>3</v>
      </c>
      <c r="AE59" s="5" t="str">
        <f t="shared" si="6"/>
        <v>Shortage</v>
      </c>
    </row>
    <row r="60" spans="1:31" x14ac:dyDescent="0.25">
      <c r="A60" t="s">
        <v>244</v>
      </c>
      <c r="B60" s="2">
        <v>45957</v>
      </c>
      <c r="C60" t="s">
        <v>245</v>
      </c>
      <c r="D60" t="s">
        <v>138</v>
      </c>
      <c r="E60" t="s">
        <v>139</v>
      </c>
      <c r="F60" t="s">
        <v>49</v>
      </c>
      <c r="G60" t="s">
        <v>43</v>
      </c>
      <c r="H60" t="s">
        <v>37</v>
      </c>
      <c r="I60">
        <v>8</v>
      </c>
      <c r="J60">
        <v>22</v>
      </c>
      <c r="K60">
        <v>10</v>
      </c>
      <c r="L60">
        <v>12</v>
      </c>
      <c r="M60">
        <v>0</v>
      </c>
      <c r="N60">
        <v>22</v>
      </c>
      <c r="O60">
        <v>0</v>
      </c>
      <c r="P60">
        <v>37</v>
      </c>
      <c r="Q60">
        <v>7.38</v>
      </c>
      <c r="R60">
        <v>162.36000000000001</v>
      </c>
      <c r="S60">
        <v>21984</v>
      </c>
      <c r="T60">
        <v>21204</v>
      </c>
      <c r="U60">
        <v>106</v>
      </c>
      <c r="V60">
        <v>21098</v>
      </c>
      <c r="W60" s="3">
        <f t="shared" si="0"/>
        <v>129.94579945799458</v>
      </c>
      <c r="X60">
        <v>124.78240035826239</v>
      </c>
      <c r="Y60" s="3">
        <v>124.78240035826239</v>
      </c>
      <c r="Z60" s="4">
        <f t="shared" si="1"/>
        <v>1.0413792256352463</v>
      </c>
      <c r="AA60" s="5">
        <f t="shared" si="2"/>
        <v>176.17869136097559</v>
      </c>
      <c r="AB60" s="5">
        <f t="shared" si="3"/>
        <v>7.3833333333333329</v>
      </c>
      <c r="AC60" s="5">
        <f t="shared" si="4"/>
        <v>24</v>
      </c>
      <c r="AD60" s="5">
        <f t="shared" si="5"/>
        <v>2</v>
      </c>
      <c r="AE60" s="5" t="str">
        <f t="shared" si="6"/>
        <v>Shortage</v>
      </c>
    </row>
    <row r="61" spans="1:31" x14ac:dyDescent="0.25">
      <c r="A61" t="s">
        <v>246</v>
      </c>
      <c r="B61" s="2">
        <v>45957</v>
      </c>
      <c r="C61" t="s">
        <v>247</v>
      </c>
      <c r="D61" t="s">
        <v>248</v>
      </c>
      <c r="E61" t="s">
        <v>249</v>
      </c>
      <c r="F61" t="s">
        <v>55</v>
      </c>
      <c r="G61" t="s">
        <v>79</v>
      </c>
      <c r="H61" t="s">
        <v>44</v>
      </c>
      <c r="I61">
        <v>10</v>
      </c>
      <c r="J61">
        <v>14</v>
      </c>
      <c r="K61">
        <v>6</v>
      </c>
      <c r="L61">
        <v>8</v>
      </c>
      <c r="M61">
        <v>1</v>
      </c>
      <c r="N61">
        <v>13</v>
      </c>
      <c r="O61">
        <v>2</v>
      </c>
      <c r="P61">
        <v>49</v>
      </c>
      <c r="Q61">
        <v>9.18</v>
      </c>
      <c r="R61">
        <v>119.34</v>
      </c>
      <c r="S61">
        <v>14218</v>
      </c>
      <c r="T61">
        <v>11107</v>
      </c>
      <c r="U61">
        <v>262</v>
      </c>
      <c r="V61">
        <v>10845</v>
      </c>
      <c r="W61" s="3">
        <f t="shared" si="0"/>
        <v>90.874811463046754</v>
      </c>
      <c r="X61">
        <v>99.520305551967823</v>
      </c>
      <c r="Y61" s="3">
        <v>99.520305551967823</v>
      </c>
      <c r="Z61" s="4">
        <f t="shared" si="1"/>
        <v>0.91312834058365566</v>
      </c>
      <c r="AA61" s="5">
        <f t="shared" si="2"/>
        <v>142.86531699378276</v>
      </c>
      <c r="AB61" s="5">
        <f t="shared" si="3"/>
        <v>9.1833333333333336</v>
      </c>
      <c r="AC61" s="5">
        <f t="shared" si="4"/>
        <v>16</v>
      </c>
      <c r="AD61" s="5">
        <f t="shared" si="5"/>
        <v>3</v>
      </c>
      <c r="AE61" s="5" t="str">
        <f t="shared" si="6"/>
        <v>Shortage</v>
      </c>
    </row>
    <row r="62" spans="1:31" x14ac:dyDescent="0.25">
      <c r="A62" t="s">
        <v>250</v>
      </c>
      <c r="B62" s="2">
        <v>45958</v>
      </c>
      <c r="C62" t="s">
        <v>251</v>
      </c>
      <c r="D62" t="s">
        <v>130</v>
      </c>
      <c r="E62" t="s">
        <v>131</v>
      </c>
      <c r="F62" t="s">
        <v>68</v>
      </c>
      <c r="G62" t="s">
        <v>36</v>
      </c>
      <c r="H62" t="s">
        <v>37</v>
      </c>
      <c r="I62">
        <v>8</v>
      </c>
      <c r="J62">
        <v>22</v>
      </c>
      <c r="K62">
        <v>7</v>
      </c>
      <c r="L62">
        <v>15</v>
      </c>
      <c r="M62">
        <v>0</v>
      </c>
      <c r="N62">
        <v>22</v>
      </c>
      <c r="O62">
        <v>0</v>
      </c>
      <c r="P62">
        <v>45</v>
      </c>
      <c r="Q62">
        <v>7.25</v>
      </c>
      <c r="R62">
        <v>159.5</v>
      </c>
      <c r="S62">
        <v>25741</v>
      </c>
      <c r="T62">
        <v>17763</v>
      </c>
      <c r="U62">
        <v>334</v>
      </c>
      <c r="V62">
        <v>17429</v>
      </c>
      <c r="W62" s="3">
        <f t="shared" si="0"/>
        <v>109.27272727272727</v>
      </c>
      <c r="X62">
        <v>120.8174989437542</v>
      </c>
      <c r="Y62" s="3">
        <v>120.8174989437542</v>
      </c>
      <c r="Z62" s="4">
        <f t="shared" si="1"/>
        <v>0.90444454013733944</v>
      </c>
      <c r="AA62" s="5">
        <f t="shared" si="2"/>
        <v>213.05688517839252</v>
      </c>
      <c r="AB62" s="5">
        <f t="shared" si="3"/>
        <v>7.25</v>
      </c>
      <c r="AC62" s="5">
        <f t="shared" si="4"/>
        <v>30</v>
      </c>
      <c r="AD62" s="5">
        <f t="shared" si="5"/>
        <v>8</v>
      </c>
      <c r="AE62" s="5" t="str">
        <f t="shared" si="6"/>
        <v>Shortage</v>
      </c>
    </row>
    <row r="63" spans="1:31" x14ac:dyDescent="0.25">
      <c r="A63" t="s">
        <v>252</v>
      </c>
      <c r="B63" s="2">
        <v>45958</v>
      </c>
      <c r="C63" t="s">
        <v>253</v>
      </c>
      <c r="D63" t="s">
        <v>254</v>
      </c>
      <c r="E63" t="s">
        <v>157</v>
      </c>
      <c r="F63" t="s">
        <v>35</v>
      </c>
      <c r="G63" t="s">
        <v>43</v>
      </c>
      <c r="H63" t="s">
        <v>69</v>
      </c>
      <c r="I63">
        <v>8</v>
      </c>
      <c r="J63">
        <v>19</v>
      </c>
      <c r="K63">
        <v>9</v>
      </c>
      <c r="L63">
        <v>10</v>
      </c>
      <c r="M63">
        <v>0</v>
      </c>
      <c r="N63">
        <v>19</v>
      </c>
      <c r="O63">
        <v>2</v>
      </c>
      <c r="P63">
        <v>8</v>
      </c>
      <c r="Q63">
        <v>7.87</v>
      </c>
      <c r="R63">
        <v>149.53</v>
      </c>
      <c r="S63">
        <v>20055</v>
      </c>
      <c r="T63">
        <v>16065</v>
      </c>
      <c r="U63">
        <v>206</v>
      </c>
      <c r="V63">
        <v>15859</v>
      </c>
      <c r="W63" s="3">
        <f t="shared" si="0"/>
        <v>106.05898481909985</v>
      </c>
      <c r="X63">
        <v>118.01656521145939</v>
      </c>
      <c r="Y63" s="3">
        <v>118.01656521145939</v>
      </c>
      <c r="Z63" s="4">
        <f t="shared" si="1"/>
        <v>0.89867879673557505</v>
      </c>
      <c r="AA63" s="5">
        <f t="shared" si="2"/>
        <v>169.93377128088679</v>
      </c>
      <c r="AB63" s="5">
        <f t="shared" si="3"/>
        <v>7.8666666666666663</v>
      </c>
      <c r="AC63" s="5">
        <f t="shared" si="4"/>
        <v>22</v>
      </c>
      <c r="AD63" s="5">
        <f t="shared" si="5"/>
        <v>3</v>
      </c>
      <c r="AE63" s="5" t="str">
        <f t="shared" si="6"/>
        <v>Shortage</v>
      </c>
    </row>
    <row r="64" spans="1:31" x14ac:dyDescent="0.25">
      <c r="A64" t="s">
        <v>255</v>
      </c>
      <c r="B64" s="2">
        <v>45960</v>
      </c>
      <c r="C64" t="s">
        <v>256</v>
      </c>
      <c r="D64" t="s">
        <v>257</v>
      </c>
      <c r="E64" t="s">
        <v>258</v>
      </c>
      <c r="F64" t="s">
        <v>68</v>
      </c>
      <c r="G64" t="s">
        <v>43</v>
      </c>
      <c r="H64" t="s">
        <v>74</v>
      </c>
      <c r="I64">
        <v>8</v>
      </c>
      <c r="J64">
        <v>27</v>
      </c>
      <c r="K64">
        <v>10</v>
      </c>
      <c r="L64">
        <v>17</v>
      </c>
      <c r="M64">
        <v>0</v>
      </c>
      <c r="N64">
        <v>27</v>
      </c>
      <c r="O64">
        <v>3</v>
      </c>
      <c r="P64">
        <v>36</v>
      </c>
      <c r="Q64">
        <v>7.4</v>
      </c>
      <c r="R64">
        <v>199.8</v>
      </c>
      <c r="S64">
        <v>30295</v>
      </c>
      <c r="T64">
        <v>22902</v>
      </c>
      <c r="U64">
        <v>424</v>
      </c>
      <c r="V64">
        <v>22478</v>
      </c>
      <c r="W64" s="3">
        <f t="shared" si="0"/>
        <v>112.50250250250249</v>
      </c>
      <c r="X64">
        <v>128.22014138735929</v>
      </c>
      <c r="Y64" s="3">
        <v>128.22014138735929</v>
      </c>
      <c r="Z64" s="4">
        <f t="shared" si="1"/>
        <v>0.87741677154002629</v>
      </c>
      <c r="AA64" s="5">
        <f t="shared" si="2"/>
        <v>236.2733317262327</v>
      </c>
      <c r="AB64" s="5">
        <f t="shared" si="3"/>
        <v>7.4</v>
      </c>
      <c r="AC64" s="5">
        <f t="shared" si="4"/>
        <v>32</v>
      </c>
      <c r="AD64" s="5">
        <f t="shared" si="5"/>
        <v>5</v>
      </c>
      <c r="AE64" s="5" t="str">
        <f t="shared" si="6"/>
        <v>Shortage</v>
      </c>
    </row>
    <row r="65" spans="1:31" x14ac:dyDescent="0.25">
      <c r="A65" t="s">
        <v>259</v>
      </c>
      <c r="B65" s="2">
        <v>45960</v>
      </c>
      <c r="C65" t="s">
        <v>260</v>
      </c>
      <c r="D65" t="s">
        <v>261</v>
      </c>
      <c r="E65" t="s">
        <v>262</v>
      </c>
      <c r="F65" t="s">
        <v>68</v>
      </c>
      <c r="G65" t="s">
        <v>43</v>
      </c>
      <c r="H65" t="s">
        <v>44</v>
      </c>
      <c r="I65">
        <v>8</v>
      </c>
      <c r="J65">
        <v>24</v>
      </c>
      <c r="K65">
        <v>10</v>
      </c>
      <c r="L65">
        <v>14</v>
      </c>
      <c r="M65">
        <v>1</v>
      </c>
      <c r="N65">
        <v>23</v>
      </c>
      <c r="O65">
        <v>3</v>
      </c>
      <c r="P65">
        <v>34</v>
      </c>
      <c r="Q65">
        <v>7.43</v>
      </c>
      <c r="R65">
        <v>170.89</v>
      </c>
      <c r="S65">
        <v>25727</v>
      </c>
      <c r="T65">
        <v>22324</v>
      </c>
      <c r="U65">
        <v>365</v>
      </c>
      <c r="V65">
        <v>21959</v>
      </c>
      <c r="W65" s="3">
        <f t="shared" si="0"/>
        <v>128.49786412312014</v>
      </c>
      <c r="X65">
        <v>128.22014138735929</v>
      </c>
      <c r="Y65" s="3">
        <v>128.22014138735929</v>
      </c>
      <c r="Z65" s="4">
        <f t="shared" si="1"/>
        <v>1.0021659836961327</v>
      </c>
      <c r="AA65" s="5">
        <f t="shared" si="2"/>
        <v>200.64710365805541</v>
      </c>
      <c r="AB65" s="5">
        <f t="shared" si="3"/>
        <v>7.4333333333333336</v>
      </c>
      <c r="AC65" s="5">
        <f t="shared" si="4"/>
        <v>27</v>
      </c>
      <c r="AD65" s="5">
        <f t="shared" si="5"/>
        <v>4</v>
      </c>
      <c r="AE65" s="5" t="str">
        <f t="shared" si="6"/>
        <v>Shortage</v>
      </c>
    </row>
    <row r="66" spans="1:31" x14ac:dyDescent="0.25">
      <c r="A66" t="s">
        <v>263</v>
      </c>
      <c r="B66" s="2">
        <v>45960</v>
      </c>
      <c r="C66" t="s">
        <v>264</v>
      </c>
      <c r="D66" t="s">
        <v>257</v>
      </c>
      <c r="E66" t="s">
        <v>258</v>
      </c>
      <c r="F66" t="s">
        <v>35</v>
      </c>
      <c r="G66" t="s">
        <v>43</v>
      </c>
      <c r="H66" t="s">
        <v>44</v>
      </c>
      <c r="I66">
        <v>9</v>
      </c>
      <c r="J66">
        <v>23</v>
      </c>
      <c r="K66">
        <v>9</v>
      </c>
      <c r="L66">
        <v>14</v>
      </c>
      <c r="M66">
        <v>0</v>
      </c>
      <c r="N66">
        <v>23</v>
      </c>
      <c r="O66">
        <v>3</v>
      </c>
      <c r="P66">
        <v>37</v>
      </c>
      <c r="Q66">
        <v>8.3800000000000008</v>
      </c>
      <c r="R66">
        <v>192.74</v>
      </c>
      <c r="S66">
        <v>25946</v>
      </c>
      <c r="T66">
        <v>19479</v>
      </c>
      <c r="U66">
        <v>655</v>
      </c>
      <c r="V66">
        <v>18824</v>
      </c>
      <c r="W66" s="3">
        <f t="shared" si="0"/>
        <v>97.66524852132406</v>
      </c>
      <c r="X66">
        <v>118.01656521145939</v>
      </c>
      <c r="Y66" s="3">
        <v>118.01656521145939</v>
      </c>
      <c r="Z66" s="4">
        <f t="shared" si="1"/>
        <v>0.82755542280297423</v>
      </c>
      <c r="AA66" s="5">
        <f t="shared" si="2"/>
        <v>219.8504926279675</v>
      </c>
      <c r="AB66" s="5">
        <f t="shared" si="3"/>
        <v>8.3833333333333329</v>
      </c>
      <c r="AC66" s="5">
        <f t="shared" si="4"/>
        <v>27</v>
      </c>
      <c r="AD66" s="5">
        <f t="shared" si="5"/>
        <v>4</v>
      </c>
      <c r="AE66" s="5" t="str">
        <f t="shared" si="6"/>
        <v>Shortage</v>
      </c>
    </row>
    <row r="67" spans="1:31" x14ac:dyDescent="0.25">
      <c r="A67" t="s">
        <v>265</v>
      </c>
      <c r="B67" s="2">
        <v>45961</v>
      </c>
      <c r="C67" t="s">
        <v>266</v>
      </c>
      <c r="D67" t="s">
        <v>204</v>
      </c>
      <c r="E67" t="s">
        <v>205</v>
      </c>
      <c r="F67" t="s">
        <v>55</v>
      </c>
      <c r="G67" t="s">
        <v>36</v>
      </c>
      <c r="H67" t="s">
        <v>69</v>
      </c>
      <c r="I67">
        <v>8</v>
      </c>
      <c r="J67">
        <v>13</v>
      </c>
      <c r="K67">
        <v>6</v>
      </c>
      <c r="L67">
        <v>7</v>
      </c>
      <c r="M67">
        <v>0</v>
      </c>
      <c r="N67">
        <v>13</v>
      </c>
      <c r="O67">
        <v>2</v>
      </c>
      <c r="P67">
        <v>9</v>
      </c>
      <c r="Q67">
        <v>7.85</v>
      </c>
      <c r="R67">
        <v>102.05</v>
      </c>
      <c r="S67">
        <v>11966</v>
      </c>
      <c r="T67">
        <v>8758</v>
      </c>
      <c r="U67">
        <v>313</v>
      </c>
      <c r="V67">
        <v>8445</v>
      </c>
      <c r="W67" s="3">
        <f t="shared" ref="W67:W130" si="7">IFERROR(V67/R67,0)</f>
        <v>82.753552180303771</v>
      </c>
      <c r="X67">
        <v>108.32817332835501</v>
      </c>
      <c r="Y67" s="3">
        <v>108.32817332835501</v>
      </c>
      <c r="Z67" s="4">
        <f t="shared" ref="Z67:Z130" si="8">IFERROR(W67/Y67,0)</f>
        <v>0.76391532911266169</v>
      </c>
      <c r="AA67" s="5">
        <f t="shared" ref="AA67:AA130" si="9">IFERROR(S67/Y67,0)</f>
        <v>110.46064594599683</v>
      </c>
      <c r="AB67" s="5">
        <f t="shared" ref="AB67:AB130" si="10">MAX(0.1,I67-(P67/60))</f>
        <v>7.85</v>
      </c>
      <c r="AC67" s="5">
        <f t="shared" ref="AC67:AC130" si="11">IFERROR(CEILING(AA67/AB67,1),0)</f>
        <v>15</v>
      </c>
      <c r="AD67" s="5">
        <f t="shared" ref="AD67:AD130" si="12">AC67-N67</f>
        <v>2</v>
      </c>
      <c r="AE67" s="5" t="str">
        <f t="shared" ref="AE67:AE130" si="13">IF(AD67&gt;0,"Shortage",IF(AD67&lt;0,"Surplus","Balanced"))</f>
        <v>Shortage</v>
      </c>
    </row>
    <row r="68" spans="1:31" x14ac:dyDescent="0.25">
      <c r="A68" t="s">
        <v>267</v>
      </c>
      <c r="B68" s="2">
        <v>45962</v>
      </c>
      <c r="C68" t="s">
        <v>268</v>
      </c>
      <c r="D68" t="s">
        <v>77</v>
      </c>
      <c r="E68" t="s">
        <v>78</v>
      </c>
      <c r="F68" t="s">
        <v>49</v>
      </c>
      <c r="G68" t="s">
        <v>43</v>
      </c>
      <c r="H68" t="s">
        <v>69</v>
      </c>
      <c r="I68">
        <v>8</v>
      </c>
      <c r="J68">
        <v>26</v>
      </c>
      <c r="K68">
        <v>12</v>
      </c>
      <c r="L68">
        <v>14</v>
      </c>
      <c r="M68">
        <v>0</v>
      </c>
      <c r="N68">
        <v>26</v>
      </c>
      <c r="O68">
        <v>2</v>
      </c>
      <c r="P68">
        <v>20</v>
      </c>
      <c r="Q68">
        <v>7.67</v>
      </c>
      <c r="R68">
        <v>199.42</v>
      </c>
      <c r="S68">
        <v>27151</v>
      </c>
      <c r="T68">
        <v>21168</v>
      </c>
      <c r="U68">
        <v>106</v>
      </c>
      <c r="V68">
        <v>21062</v>
      </c>
      <c r="W68" s="3">
        <f t="shared" si="7"/>
        <v>105.61628723297564</v>
      </c>
      <c r="X68">
        <v>124.78240035826239</v>
      </c>
      <c r="Y68" s="3">
        <v>124.78240035826239</v>
      </c>
      <c r="Z68" s="4">
        <f t="shared" si="8"/>
        <v>0.84640371502504375</v>
      </c>
      <c r="AA68" s="5">
        <f t="shared" si="9"/>
        <v>217.58677443330822</v>
      </c>
      <c r="AB68" s="5">
        <f t="shared" si="10"/>
        <v>7.666666666666667</v>
      </c>
      <c r="AC68" s="5">
        <f t="shared" si="11"/>
        <v>29</v>
      </c>
      <c r="AD68" s="5">
        <f t="shared" si="12"/>
        <v>3</v>
      </c>
      <c r="AE68" s="5" t="str">
        <f t="shared" si="13"/>
        <v>Shortage</v>
      </c>
    </row>
    <row r="69" spans="1:31" x14ac:dyDescent="0.25">
      <c r="A69" t="s">
        <v>269</v>
      </c>
      <c r="B69" s="2">
        <v>45962</v>
      </c>
      <c r="C69" t="s">
        <v>270</v>
      </c>
      <c r="D69" t="s">
        <v>271</v>
      </c>
      <c r="E69" t="s">
        <v>272</v>
      </c>
      <c r="F69" t="s">
        <v>35</v>
      </c>
      <c r="G69" t="s">
        <v>43</v>
      </c>
      <c r="H69" t="s">
        <v>50</v>
      </c>
      <c r="I69">
        <v>8</v>
      </c>
      <c r="J69">
        <v>21</v>
      </c>
      <c r="K69">
        <v>10</v>
      </c>
      <c r="L69">
        <v>11</v>
      </c>
      <c r="M69">
        <v>0</v>
      </c>
      <c r="N69">
        <v>21</v>
      </c>
      <c r="O69">
        <v>0</v>
      </c>
      <c r="P69">
        <v>24</v>
      </c>
      <c r="Q69">
        <v>7.6</v>
      </c>
      <c r="R69">
        <v>159.6</v>
      </c>
      <c r="S69">
        <v>17244</v>
      </c>
      <c r="T69">
        <v>14667</v>
      </c>
      <c r="U69">
        <v>482</v>
      </c>
      <c r="V69">
        <v>14185</v>
      </c>
      <c r="W69" s="3">
        <f t="shared" si="7"/>
        <v>88.878446115288227</v>
      </c>
      <c r="X69">
        <v>118.01656521145939</v>
      </c>
      <c r="Y69" s="3">
        <v>118.01656521145939</v>
      </c>
      <c r="Z69" s="4">
        <f t="shared" si="8"/>
        <v>0.75310144771657983</v>
      </c>
      <c r="AA69" s="5">
        <f t="shared" si="9"/>
        <v>146.11508112528605</v>
      </c>
      <c r="AB69" s="5">
        <f t="shared" si="10"/>
        <v>7.6</v>
      </c>
      <c r="AC69" s="5">
        <f t="shared" si="11"/>
        <v>20</v>
      </c>
      <c r="AD69" s="5">
        <f t="shared" si="12"/>
        <v>-1</v>
      </c>
      <c r="AE69" s="5" t="str">
        <f t="shared" si="13"/>
        <v>Surplus</v>
      </c>
    </row>
    <row r="70" spans="1:31" x14ac:dyDescent="0.25">
      <c r="A70" t="s">
        <v>273</v>
      </c>
      <c r="B70" s="2">
        <v>45963</v>
      </c>
      <c r="C70" t="s">
        <v>274</v>
      </c>
      <c r="D70" t="s">
        <v>275</v>
      </c>
      <c r="E70" t="s">
        <v>276</v>
      </c>
      <c r="F70" t="s">
        <v>49</v>
      </c>
      <c r="G70" t="s">
        <v>79</v>
      </c>
      <c r="H70" t="s">
        <v>37</v>
      </c>
      <c r="I70">
        <v>10</v>
      </c>
      <c r="J70">
        <v>22</v>
      </c>
      <c r="K70">
        <v>8</v>
      </c>
      <c r="L70">
        <v>14</v>
      </c>
      <c r="M70">
        <v>0</v>
      </c>
      <c r="N70">
        <v>22</v>
      </c>
      <c r="O70">
        <v>3</v>
      </c>
      <c r="P70">
        <v>41</v>
      </c>
      <c r="Q70">
        <v>9.32</v>
      </c>
      <c r="R70">
        <v>205.04</v>
      </c>
      <c r="S70">
        <v>27467</v>
      </c>
      <c r="T70">
        <v>26892</v>
      </c>
      <c r="U70">
        <v>477</v>
      </c>
      <c r="V70">
        <v>26415</v>
      </c>
      <c r="W70" s="3">
        <f t="shared" si="7"/>
        <v>128.82852126414357</v>
      </c>
      <c r="X70">
        <v>107.36289227751951</v>
      </c>
      <c r="Y70" s="3">
        <v>107.36289227751951</v>
      </c>
      <c r="Z70" s="4">
        <f t="shared" si="8"/>
        <v>1.1999352712214397</v>
      </c>
      <c r="AA70" s="5">
        <f t="shared" si="9"/>
        <v>255.83327178818243</v>
      </c>
      <c r="AB70" s="5">
        <f t="shared" si="10"/>
        <v>9.3166666666666664</v>
      </c>
      <c r="AC70" s="5">
        <f t="shared" si="11"/>
        <v>28</v>
      </c>
      <c r="AD70" s="5">
        <f t="shared" si="12"/>
        <v>6</v>
      </c>
      <c r="AE70" s="5" t="str">
        <f t="shared" si="13"/>
        <v>Shortage</v>
      </c>
    </row>
    <row r="71" spans="1:31" x14ac:dyDescent="0.25">
      <c r="A71" t="s">
        <v>277</v>
      </c>
      <c r="B71" s="2">
        <v>45964</v>
      </c>
      <c r="C71" t="s">
        <v>278</v>
      </c>
      <c r="D71" t="s">
        <v>99</v>
      </c>
      <c r="E71" t="s">
        <v>100</v>
      </c>
      <c r="F71" t="s">
        <v>55</v>
      </c>
      <c r="G71" t="s">
        <v>36</v>
      </c>
      <c r="H71" t="s">
        <v>69</v>
      </c>
      <c r="I71">
        <v>9</v>
      </c>
      <c r="J71">
        <v>17</v>
      </c>
      <c r="K71">
        <v>6</v>
      </c>
      <c r="L71">
        <v>11</v>
      </c>
      <c r="M71">
        <v>1</v>
      </c>
      <c r="N71">
        <v>16</v>
      </c>
      <c r="O71">
        <v>3</v>
      </c>
      <c r="P71">
        <v>14</v>
      </c>
      <c r="Q71">
        <v>8.77</v>
      </c>
      <c r="R71">
        <v>140.32</v>
      </c>
      <c r="S71">
        <v>11760</v>
      </c>
      <c r="T71">
        <v>9911</v>
      </c>
      <c r="U71">
        <v>180</v>
      </c>
      <c r="V71">
        <v>9731</v>
      </c>
      <c r="W71" s="3">
        <f t="shared" si="7"/>
        <v>69.348631698973776</v>
      </c>
      <c r="X71">
        <v>108.32817332835501</v>
      </c>
      <c r="Y71" s="3">
        <v>108.32817332835501</v>
      </c>
      <c r="Z71" s="4">
        <f t="shared" si="8"/>
        <v>0.64017170758312514</v>
      </c>
      <c r="AA71" s="5">
        <f t="shared" si="9"/>
        <v>108.55901690831713</v>
      </c>
      <c r="AB71" s="5">
        <f t="shared" si="10"/>
        <v>8.7666666666666675</v>
      </c>
      <c r="AC71" s="5">
        <f t="shared" si="11"/>
        <v>13</v>
      </c>
      <c r="AD71" s="5">
        <f t="shared" si="12"/>
        <v>-3</v>
      </c>
      <c r="AE71" s="5" t="str">
        <f t="shared" si="13"/>
        <v>Surplus</v>
      </c>
    </row>
    <row r="72" spans="1:31" x14ac:dyDescent="0.25">
      <c r="A72" t="s">
        <v>279</v>
      </c>
      <c r="B72" s="2">
        <v>45964</v>
      </c>
      <c r="C72" t="s">
        <v>280</v>
      </c>
      <c r="D72" t="s">
        <v>178</v>
      </c>
      <c r="E72" t="s">
        <v>179</v>
      </c>
      <c r="F72" t="s">
        <v>68</v>
      </c>
      <c r="G72" t="s">
        <v>36</v>
      </c>
      <c r="H72" t="s">
        <v>44</v>
      </c>
      <c r="I72">
        <v>8</v>
      </c>
      <c r="J72">
        <v>27</v>
      </c>
      <c r="K72">
        <v>11</v>
      </c>
      <c r="L72">
        <v>16</v>
      </c>
      <c r="M72">
        <v>0</v>
      </c>
      <c r="N72">
        <v>27</v>
      </c>
      <c r="O72">
        <v>3</v>
      </c>
      <c r="P72">
        <v>12</v>
      </c>
      <c r="Q72">
        <v>7.8</v>
      </c>
      <c r="R72">
        <v>210.6</v>
      </c>
      <c r="S72">
        <v>28211</v>
      </c>
      <c r="T72">
        <v>24778</v>
      </c>
      <c r="U72">
        <v>646</v>
      </c>
      <c r="V72">
        <v>24132</v>
      </c>
      <c r="W72" s="3">
        <f t="shared" si="7"/>
        <v>114.58689458689459</v>
      </c>
      <c r="X72">
        <v>120.8174989437542</v>
      </c>
      <c r="Y72" s="3">
        <v>120.8174989437542</v>
      </c>
      <c r="Z72" s="4">
        <f t="shared" si="8"/>
        <v>0.94842961978744289</v>
      </c>
      <c r="AA72" s="5">
        <f t="shared" si="9"/>
        <v>233.50094354405934</v>
      </c>
      <c r="AB72" s="5">
        <f t="shared" si="10"/>
        <v>7.8</v>
      </c>
      <c r="AC72" s="5">
        <f t="shared" si="11"/>
        <v>30</v>
      </c>
      <c r="AD72" s="5">
        <f t="shared" si="12"/>
        <v>3</v>
      </c>
      <c r="AE72" s="5" t="str">
        <f t="shared" si="13"/>
        <v>Shortage</v>
      </c>
    </row>
    <row r="73" spans="1:31" x14ac:dyDescent="0.25">
      <c r="A73" t="s">
        <v>281</v>
      </c>
      <c r="B73" s="2">
        <v>45964</v>
      </c>
      <c r="C73" t="s">
        <v>282</v>
      </c>
      <c r="D73" t="s">
        <v>72</v>
      </c>
      <c r="E73" t="s">
        <v>73</v>
      </c>
      <c r="F73" t="s">
        <v>35</v>
      </c>
      <c r="G73" t="s">
        <v>36</v>
      </c>
      <c r="H73" t="s">
        <v>88</v>
      </c>
      <c r="I73">
        <v>9</v>
      </c>
      <c r="J73">
        <v>18</v>
      </c>
      <c r="K73">
        <v>9</v>
      </c>
      <c r="L73">
        <v>9</v>
      </c>
      <c r="M73">
        <v>0</v>
      </c>
      <c r="N73">
        <v>18</v>
      </c>
      <c r="O73">
        <v>2</v>
      </c>
      <c r="P73">
        <v>11</v>
      </c>
      <c r="Q73">
        <v>8.82</v>
      </c>
      <c r="R73">
        <v>158.76</v>
      </c>
      <c r="S73">
        <v>20337</v>
      </c>
      <c r="T73">
        <v>13590</v>
      </c>
      <c r="U73">
        <v>350</v>
      </c>
      <c r="V73">
        <v>13240</v>
      </c>
      <c r="W73" s="3">
        <f t="shared" si="7"/>
        <v>83.39632149155959</v>
      </c>
      <c r="X73">
        <v>114.1563708384419</v>
      </c>
      <c r="Y73" s="3">
        <v>114.1563708384419</v>
      </c>
      <c r="Z73" s="4">
        <f t="shared" si="8"/>
        <v>0.73054461068655541</v>
      </c>
      <c r="AA73" s="5">
        <f t="shared" si="9"/>
        <v>178.1503726040979</v>
      </c>
      <c r="AB73" s="5">
        <f t="shared" si="10"/>
        <v>8.8166666666666664</v>
      </c>
      <c r="AC73" s="5">
        <f t="shared" si="11"/>
        <v>21</v>
      </c>
      <c r="AD73" s="5">
        <f t="shared" si="12"/>
        <v>3</v>
      </c>
      <c r="AE73" s="5" t="str">
        <f t="shared" si="13"/>
        <v>Shortage</v>
      </c>
    </row>
    <row r="74" spans="1:31" x14ac:dyDescent="0.25">
      <c r="A74" t="s">
        <v>283</v>
      </c>
      <c r="B74" s="2">
        <v>45966</v>
      </c>
      <c r="C74" t="s">
        <v>284</v>
      </c>
      <c r="D74" t="s">
        <v>160</v>
      </c>
      <c r="E74" t="s">
        <v>161</v>
      </c>
      <c r="F74" t="s">
        <v>49</v>
      </c>
      <c r="G74" t="s">
        <v>43</v>
      </c>
      <c r="H74" t="s">
        <v>69</v>
      </c>
      <c r="I74">
        <v>8</v>
      </c>
      <c r="J74">
        <v>21</v>
      </c>
      <c r="K74">
        <v>8</v>
      </c>
      <c r="L74">
        <v>13</v>
      </c>
      <c r="M74">
        <v>2</v>
      </c>
      <c r="N74">
        <v>19</v>
      </c>
      <c r="O74">
        <v>3</v>
      </c>
      <c r="P74">
        <v>16</v>
      </c>
      <c r="Q74">
        <v>7.73</v>
      </c>
      <c r="R74">
        <v>146.87</v>
      </c>
      <c r="S74">
        <v>19595</v>
      </c>
      <c r="T74">
        <v>17368</v>
      </c>
      <c r="U74">
        <v>269</v>
      </c>
      <c r="V74">
        <v>17099</v>
      </c>
      <c r="W74" s="3">
        <f t="shared" si="7"/>
        <v>116.42268672976101</v>
      </c>
      <c r="X74">
        <v>124.78240035826239</v>
      </c>
      <c r="Y74" s="3">
        <v>124.78240035826239</v>
      </c>
      <c r="Z74" s="4">
        <f t="shared" si="8"/>
        <v>0.93300566742986324</v>
      </c>
      <c r="AA74" s="5">
        <f t="shared" si="9"/>
        <v>157.03336322863521</v>
      </c>
      <c r="AB74" s="5">
        <f t="shared" si="10"/>
        <v>7.7333333333333334</v>
      </c>
      <c r="AC74" s="5">
        <f t="shared" si="11"/>
        <v>21</v>
      </c>
      <c r="AD74" s="5">
        <f t="shared" si="12"/>
        <v>2</v>
      </c>
      <c r="AE74" s="5" t="str">
        <f t="shared" si="13"/>
        <v>Shortage</v>
      </c>
    </row>
    <row r="75" spans="1:31" x14ac:dyDescent="0.25">
      <c r="A75" t="s">
        <v>285</v>
      </c>
      <c r="B75" s="2">
        <v>45966</v>
      </c>
      <c r="C75" t="s">
        <v>286</v>
      </c>
      <c r="D75" t="s">
        <v>287</v>
      </c>
      <c r="E75" t="s">
        <v>288</v>
      </c>
      <c r="F75" t="s">
        <v>35</v>
      </c>
      <c r="G75" t="s">
        <v>43</v>
      </c>
      <c r="H75" t="s">
        <v>37</v>
      </c>
      <c r="I75">
        <v>9</v>
      </c>
      <c r="J75">
        <v>24</v>
      </c>
      <c r="K75">
        <v>11</v>
      </c>
      <c r="L75">
        <v>13</v>
      </c>
      <c r="M75">
        <v>1</v>
      </c>
      <c r="N75">
        <v>23</v>
      </c>
      <c r="O75">
        <v>0</v>
      </c>
      <c r="P75">
        <v>48</v>
      </c>
      <c r="Q75">
        <v>8.1999999999999993</v>
      </c>
      <c r="R75">
        <v>188.6</v>
      </c>
      <c r="S75">
        <v>28766</v>
      </c>
      <c r="T75">
        <v>20982</v>
      </c>
      <c r="U75">
        <v>764</v>
      </c>
      <c r="V75">
        <v>20218</v>
      </c>
      <c r="W75" s="3">
        <f t="shared" si="7"/>
        <v>107.20042417815483</v>
      </c>
      <c r="X75">
        <v>118.01656521145939</v>
      </c>
      <c r="Y75" s="3">
        <v>118.01656521145939</v>
      </c>
      <c r="Z75" s="4">
        <f t="shared" si="8"/>
        <v>0.90835065387706848</v>
      </c>
      <c r="AA75" s="5">
        <f t="shared" si="9"/>
        <v>243.74544326432257</v>
      </c>
      <c r="AB75" s="5">
        <f t="shared" si="10"/>
        <v>8.1999999999999993</v>
      </c>
      <c r="AC75" s="5">
        <f t="shared" si="11"/>
        <v>30</v>
      </c>
      <c r="AD75" s="5">
        <f t="shared" si="12"/>
        <v>7</v>
      </c>
      <c r="AE75" s="5" t="str">
        <f t="shared" si="13"/>
        <v>Shortage</v>
      </c>
    </row>
    <row r="76" spans="1:31" x14ac:dyDescent="0.25">
      <c r="A76" t="s">
        <v>289</v>
      </c>
      <c r="B76" s="2">
        <v>45967</v>
      </c>
      <c r="C76" t="s">
        <v>290</v>
      </c>
      <c r="D76" t="s">
        <v>216</v>
      </c>
      <c r="E76" t="s">
        <v>217</v>
      </c>
      <c r="F76" t="s">
        <v>49</v>
      </c>
      <c r="G76" t="s">
        <v>36</v>
      </c>
      <c r="H76" t="s">
        <v>37</v>
      </c>
      <c r="I76">
        <v>8</v>
      </c>
      <c r="J76">
        <v>25</v>
      </c>
      <c r="K76">
        <v>10</v>
      </c>
      <c r="L76">
        <v>15</v>
      </c>
      <c r="M76">
        <v>0</v>
      </c>
      <c r="N76">
        <v>25</v>
      </c>
      <c r="O76">
        <v>0</v>
      </c>
      <c r="P76">
        <v>32</v>
      </c>
      <c r="Q76">
        <v>7.47</v>
      </c>
      <c r="R76">
        <v>186.75</v>
      </c>
      <c r="S76">
        <v>22377</v>
      </c>
      <c r="T76">
        <v>16522</v>
      </c>
      <c r="U76">
        <v>410</v>
      </c>
      <c r="V76">
        <v>16112</v>
      </c>
      <c r="W76" s="3">
        <f t="shared" si="7"/>
        <v>86.275769745649271</v>
      </c>
      <c r="X76">
        <v>118.4084783141387</v>
      </c>
      <c r="Y76" s="3">
        <v>118.4084783141387</v>
      </c>
      <c r="Z76" s="4">
        <f t="shared" si="8"/>
        <v>0.72862831255004323</v>
      </c>
      <c r="AA76" s="5">
        <f t="shared" si="9"/>
        <v>188.98139996895853</v>
      </c>
      <c r="AB76" s="5">
        <f t="shared" si="10"/>
        <v>7.4666666666666668</v>
      </c>
      <c r="AC76" s="5">
        <f t="shared" si="11"/>
        <v>26</v>
      </c>
      <c r="AD76" s="5">
        <f t="shared" si="12"/>
        <v>1</v>
      </c>
      <c r="AE76" s="5" t="str">
        <f t="shared" si="13"/>
        <v>Shortage</v>
      </c>
    </row>
    <row r="77" spans="1:31" x14ac:dyDescent="0.25">
      <c r="A77" t="s">
        <v>291</v>
      </c>
      <c r="B77" s="2">
        <v>45968</v>
      </c>
      <c r="C77" t="s">
        <v>292</v>
      </c>
      <c r="D77" t="s">
        <v>293</v>
      </c>
      <c r="E77" t="s">
        <v>294</v>
      </c>
      <c r="F77" t="s">
        <v>49</v>
      </c>
      <c r="G77" t="s">
        <v>79</v>
      </c>
      <c r="H77" t="s">
        <v>37</v>
      </c>
      <c r="I77">
        <v>8</v>
      </c>
      <c r="J77">
        <v>22</v>
      </c>
      <c r="K77">
        <v>8</v>
      </c>
      <c r="L77">
        <v>14</v>
      </c>
      <c r="M77">
        <v>0</v>
      </c>
      <c r="N77">
        <v>22</v>
      </c>
      <c r="O77">
        <v>0</v>
      </c>
      <c r="P77">
        <v>59</v>
      </c>
      <c r="Q77">
        <v>7.02</v>
      </c>
      <c r="R77">
        <v>154.44</v>
      </c>
      <c r="S77">
        <v>22083</v>
      </c>
      <c r="T77">
        <v>18701</v>
      </c>
      <c r="U77">
        <v>685</v>
      </c>
      <c r="V77">
        <v>18016</v>
      </c>
      <c r="W77" s="3">
        <f t="shared" si="7"/>
        <v>116.65371665371666</v>
      </c>
      <c r="X77">
        <v>107.36289227751951</v>
      </c>
      <c r="Y77" s="3">
        <v>107.36289227751951</v>
      </c>
      <c r="Z77" s="4">
        <f t="shared" si="8"/>
        <v>1.0865366438916488</v>
      </c>
      <c r="AA77" s="5">
        <f t="shared" si="9"/>
        <v>205.68559146970665</v>
      </c>
      <c r="AB77" s="5">
        <f t="shared" si="10"/>
        <v>7.0166666666666666</v>
      </c>
      <c r="AC77" s="5">
        <f t="shared" si="11"/>
        <v>30</v>
      </c>
      <c r="AD77" s="5">
        <f t="shared" si="12"/>
        <v>8</v>
      </c>
      <c r="AE77" s="5" t="str">
        <f t="shared" si="13"/>
        <v>Shortage</v>
      </c>
    </row>
    <row r="78" spans="1:31" x14ac:dyDescent="0.25">
      <c r="A78" t="s">
        <v>295</v>
      </c>
      <c r="B78" s="2">
        <v>45970</v>
      </c>
      <c r="C78" t="s">
        <v>296</v>
      </c>
      <c r="D78" t="s">
        <v>297</v>
      </c>
      <c r="E78" t="s">
        <v>298</v>
      </c>
      <c r="F78" t="s">
        <v>55</v>
      </c>
      <c r="G78" t="s">
        <v>36</v>
      </c>
      <c r="H78" t="s">
        <v>44</v>
      </c>
      <c r="I78">
        <v>8</v>
      </c>
      <c r="J78">
        <v>19</v>
      </c>
      <c r="K78">
        <v>9</v>
      </c>
      <c r="L78">
        <v>10</v>
      </c>
      <c r="M78">
        <v>1</v>
      </c>
      <c r="N78">
        <v>18</v>
      </c>
      <c r="O78">
        <v>0</v>
      </c>
      <c r="P78">
        <v>24</v>
      </c>
      <c r="Q78">
        <v>7.6</v>
      </c>
      <c r="R78">
        <v>136.80000000000001</v>
      </c>
      <c r="S78">
        <v>12684</v>
      </c>
      <c r="T78">
        <v>12111</v>
      </c>
      <c r="U78">
        <v>284</v>
      </c>
      <c r="V78">
        <v>11827</v>
      </c>
      <c r="W78" s="3">
        <f t="shared" si="7"/>
        <v>86.454678362573091</v>
      </c>
      <c r="X78">
        <v>108.32817332835501</v>
      </c>
      <c r="Y78" s="3">
        <v>108.32817332835501</v>
      </c>
      <c r="Z78" s="4">
        <f t="shared" si="8"/>
        <v>0.79808119814334111</v>
      </c>
      <c r="AA78" s="5">
        <f t="shared" si="9"/>
        <v>117.08865395111347</v>
      </c>
      <c r="AB78" s="5">
        <f t="shared" si="10"/>
        <v>7.6</v>
      </c>
      <c r="AC78" s="5">
        <f t="shared" si="11"/>
        <v>16</v>
      </c>
      <c r="AD78" s="5">
        <f t="shared" si="12"/>
        <v>-2</v>
      </c>
      <c r="AE78" s="5" t="str">
        <f t="shared" si="13"/>
        <v>Surplus</v>
      </c>
    </row>
    <row r="79" spans="1:31" x14ac:dyDescent="0.25">
      <c r="A79" t="s">
        <v>299</v>
      </c>
      <c r="B79" s="2">
        <v>45972</v>
      </c>
      <c r="C79" t="s">
        <v>300</v>
      </c>
      <c r="D79" t="s">
        <v>107</v>
      </c>
      <c r="E79" t="s">
        <v>108</v>
      </c>
      <c r="F79" t="s">
        <v>42</v>
      </c>
      <c r="G79" t="s">
        <v>36</v>
      </c>
      <c r="H79" t="s">
        <v>69</v>
      </c>
      <c r="I79">
        <v>8</v>
      </c>
      <c r="J79">
        <v>16</v>
      </c>
      <c r="K79">
        <v>6</v>
      </c>
      <c r="L79">
        <v>10</v>
      </c>
      <c r="M79">
        <v>1</v>
      </c>
      <c r="N79">
        <v>15</v>
      </c>
      <c r="O79">
        <v>1</v>
      </c>
      <c r="P79">
        <v>49</v>
      </c>
      <c r="Q79">
        <v>7.18</v>
      </c>
      <c r="R79">
        <v>107.7</v>
      </c>
      <c r="S79">
        <v>14133</v>
      </c>
      <c r="T79">
        <v>12584</v>
      </c>
      <c r="U79">
        <v>166</v>
      </c>
      <c r="V79">
        <v>12418</v>
      </c>
      <c r="W79" s="3">
        <f t="shared" si="7"/>
        <v>115.30176415970287</v>
      </c>
      <c r="X79">
        <v>112.98347693798689</v>
      </c>
      <c r="Y79" s="3">
        <v>112.98347693798689</v>
      </c>
      <c r="Z79" s="4">
        <f t="shared" si="8"/>
        <v>1.0205188164193992</v>
      </c>
      <c r="AA79" s="5">
        <f t="shared" si="9"/>
        <v>125.08908721013394</v>
      </c>
      <c r="AB79" s="5">
        <f t="shared" si="10"/>
        <v>7.1833333333333336</v>
      </c>
      <c r="AC79" s="5">
        <f t="shared" si="11"/>
        <v>18</v>
      </c>
      <c r="AD79" s="5">
        <f t="shared" si="12"/>
        <v>3</v>
      </c>
      <c r="AE79" s="5" t="str">
        <f t="shared" si="13"/>
        <v>Shortage</v>
      </c>
    </row>
    <row r="80" spans="1:31" x14ac:dyDescent="0.25">
      <c r="A80" t="s">
        <v>301</v>
      </c>
      <c r="B80" s="2">
        <v>45972</v>
      </c>
      <c r="C80" t="s">
        <v>302</v>
      </c>
      <c r="D80" t="s">
        <v>303</v>
      </c>
      <c r="E80" t="s">
        <v>304</v>
      </c>
      <c r="F80" t="s">
        <v>68</v>
      </c>
      <c r="G80" t="s">
        <v>79</v>
      </c>
      <c r="H80" t="s">
        <v>37</v>
      </c>
      <c r="I80">
        <v>8</v>
      </c>
      <c r="J80">
        <v>26</v>
      </c>
      <c r="K80">
        <v>12</v>
      </c>
      <c r="L80">
        <v>14</v>
      </c>
      <c r="M80">
        <v>0</v>
      </c>
      <c r="N80">
        <v>26</v>
      </c>
      <c r="O80">
        <v>0</v>
      </c>
      <c r="P80">
        <v>5</v>
      </c>
      <c r="Q80">
        <v>7.92</v>
      </c>
      <c r="R80">
        <v>205.92</v>
      </c>
      <c r="S80">
        <v>24268</v>
      </c>
      <c r="T80">
        <v>21593</v>
      </c>
      <c r="U80">
        <v>529</v>
      </c>
      <c r="V80">
        <v>21064</v>
      </c>
      <c r="W80" s="3">
        <f t="shared" si="7"/>
        <v>102.29215229215229</v>
      </c>
      <c r="X80">
        <v>114.6579540175248</v>
      </c>
      <c r="Y80" s="3">
        <v>114.6579540175248</v>
      </c>
      <c r="Z80" s="4">
        <f t="shared" si="8"/>
        <v>0.8921505112198107</v>
      </c>
      <c r="AA80" s="5">
        <f t="shared" si="9"/>
        <v>211.6556169865963</v>
      </c>
      <c r="AB80" s="5">
        <f t="shared" si="10"/>
        <v>7.916666666666667</v>
      </c>
      <c r="AC80" s="5">
        <f t="shared" si="11"/>
        <v>27</v>
      </c>
      <c r="AD80" s="5">
        <f t="shared" si="12"/>
        <v>1</v>
      </c>
      <c r="AE80" s="5" t="str">
        <f t="shared" si="13"/>
        <v>Shortage</v>
      </c>
    </row>
    <row r="81" spans="1:31" x14ac:dyDescent="0.25">
      <c r="A81" t="s">
        <v>305</v>
      </c>
      <c r="B81" s="2">
        <v>45974</v>
      </c>
      <c r="C81" t="s">
        <v>306</v>
      </c>
      <c r="D81" t="s">
        <v>198</v>
      </c>
      <c r="E81" t="s">
        <v>199</v>
      </c>
      <c r="F81" t="s">
        <v>49</v>
      </c>
      <c r="G81" t="s">
        <v>43</v>
      </c>
      <c r="H81" t="s">
        <v>88</v>
      </c>
      <c r="I81">
        <v>8</v>
      </c>
      <c r="J81">
        <v>25</v>
      </c>
      <c r="K81">
        <v>12</v>
      </c>
      <c r="L81">
        <v>13</v>
      </c>
      <c r="M81">
        <v>1</v>
      </c>
      <c r="N81">
        <v>24</v>
      </c>
      <c r="O81">
        <v>3</v>
      </c>
      <c r="P81">
        <v>6</v>
      </c>
      <c r="Q81">
        <v>7.9</v>
      </c>
      <c r="R81">
        <v>189.6</v>
      </c>
      <c r="S81">
        <v>21549</v>
      </c>
      <c r="T81">
        <v>15322</v>
      </c>
      <c r="U81">
        <v>456</v>
      </c>
      <c r="V81">
        <v>14866</v>
      </c>
      <c r="W81" s="3">
        <f t="shared" si="7"/>
        <v>78.407172995780599</v>
      </c>
      <c r="X81">
        <v>124.78240035826239</v>
      </c>
      <c r="Y81" s="3">
        <v>124.78240035826239</v>
      </c>
      <c r="Z81" s="4">
        <f t="shared" si="8"/>
        <v>0.62835121596207466</v>
      </c>
      <c r="AA81" s="5">
        <f t="shared" si="9"/>
        <v>172.69262282285584</v>
      </c>
      <c r="AB81" s="5">
        <f t="shared" si="10"/>
        <v>7.9</v>
      </c>
      <c r="AC81" s="5">
        <f t="shared" si="11"/>
        <v>22</v>
      </c>
      <c r="AD81" s="5">
        <f t="shared" si="12"/>
        <v>-2</v>
      </c>
      <c r="AE81" s="5" t="str">
        <f t="shared" si="13"/>
        <v>Surplus</v>
      </c>
    </row>
    <row r="82" spans="1:31" x14ac:dyDescent="0.25">
      <c r="A82" t="s">
        <v>307</v>
      </c>
      <c r="B82" s="2">
        <v>45974</v>
      </c>
      <c r="C82" t="s">
        <v>308</v>
      </c>
      <c r="D82" t="s">
        <v>309</v>
      </c>
      <c r="E82" t="s">
        <v>135</v>
      </c>
      <c r="F82" t="s">
        <v>55</v>
      </c>
      <c r="G82" t="s">
        <v>43</v>
      </c>
      <c r="H82" t="s">
        <v>69</v>
      </c>
      <c r="I82">
        <v>10</v>
      </c>
      <c r="J82">
        <v>15</v>
      </c>
      <c r="K82">
        <v>7</v>
      </c>
      <c r="L82">
        <v>8</v>
      </c>
      <c r="M82">
        <v>0</v>
      </c>
      <c r="N82">
        <v>15</v>
      </c>
      <c r="O82">
        <v>0</v>
      </c>
      <c r="P82">
        <v>34</v>
      </c>
      <c r="Q82">
        <v>9.43</v>
      </c>
      <c r="R82">
        <v>141.44999999999999</v>
      </c>
      <c r="S82">
        <v>16579</v>
      </c>
      <c r="T82">
        <v>15041</v>
      </c>
      <c r="U82">
        <v>460</v>
      </c>
      <c r="V82">
        <v>14581</v>
      </c>
      <c r="W82" s="3">
        <f t="shared" si="7"/>
        <v>103.0823612583952</v>
      </c>
      <c r="X82">
        <v>109.38855294136761</v>
      </c>
      <c r="Y82" s="3">
        <v>109.38855294136761</v>
      </c>
      <c r="Z82" s="4">
        <f t="shared" si="8"/>
        <v>0.94235053382274347</v>
      </c>
      <c r="AA82" s="5">
        <f t="shared" si="9"/>
        <v>151.56064829641144</v>
      </c>
      <c r="AB82" s="5">
        <f t="shared" si="10"/>
        <v>9.4333333333333336</v>
      </c>
      <c r="AC82" s="5">
        <f t="shared" si="11"/>
        <v>17</v>
      </c>
      <c r="AD82" s="5">
        <f t="shared" si="12"/>
        <v>2</v>
      </c>
      <c r="AE82" s="5" t="str">
        <f t="shared" si="13"/>
        <v>Shortage</v>
      </c>
    </row>
    <row r="83" spans="1:31" x14ac:dyDescent="0.25">
      <c r="A83" t="s">
        <v>310</v>
      </c>
      <c r="B83" s="2">
        <v>45976</v>
      </c>
      <c r="C83" t="s">
        <v>311</v>
      </c>
      <c r="D83" t="s">
        <v>312</v>
      </c>
      <c r="E83" t="s">
        <v>313</v>
      </c>
      <c r="F83" t="s">
        <v>42</v>
      </c>
      <c r="G83" t="s">
        <v>43</v>
      </c>
      <c r="H83" t="s">
        <v>50</v>
      </c>
      <c r="I83">
        <v>8</v>
      </c>
      <c r="J83">
        <v>23</v>
      </c>
      <c r="K83">
        <v>11</v>
      </c>
      <c r="L83">
        <v>12</v>
      </c>
      <c r="M83">
        <v>0</v>
      </c>
      <c r="N83">
        <v>23</v>
      </c>
      <c r="O83">
        <v>3</v>
      </c>
      <c r="P83">
        <v>55</v>
      </c>
      <c r="Q83">
        <v>7.08</v>
      </c>
      <c r="R83">
        <v>162.84</v>
      </c>
      <c r="S83">
        <v>16109</v>
      </c>
      <c r="T83">
        <v>13743</v>
      </c>
      <c r="U83">
        <v>355</v>
      </c>
      <c r="V83">
        <v>13388</v>
      </c>
      <c r="W83" s="3">
        <f t="shared" si="7"/>
        <v>82.215671825104394</v>
      </c>
      <c r="X83">
        <v>115.1855592022217</v>
      </c>
      <c r="Y83" s="3">
        <v>115.1855592022217</v>
      </c>
      <c r="Z83" s="4">
        <f t="shared" si="8"/>
        <v>0.71376718049148147</v>
      </c>
      <c r="AA83" s="5">
        <f t="shared" si="9"/>
        <v>139.85260054794517</v>
      </c>
      <c r="AB83" s="5">
        <f t="shared" si=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="13"/>
        <v>Surplus</v>
      </c>
    </row>
    <row r="84" spans="1:31" x14ac:dyDescent="0.25">
      <c r="A84" t="s">
        <v>314</v>
      </c>
      <c r="B84" s="2">
        <v>45976</v>
      </c>
      <c r="C84" t="s">
        <v>315</v>
      </c>
      <c r="D84" t="s">
        <v>156</v>
      </c>
      <c r="E84" t="s">
        <v>157</v>
      </c>
      <c r="F84" t="s">
        <v>42</v>
      </c>
      <c r="G84" t="s">
        <v>43</v>
      </c>
      <c r="H84" t="s">
        <v>44</v>
      </c>
      <c r="I84">
        <v>8</v>
      </c>
      <c r="J84">
        <v>18</v>
      </c>
      <c r="K84">
        <v>6</v>
      </c>
      <c r="L84">
        <v>12</v>
      </c>
      <c r="M84">
        <v>2</v>
      </c>
      <c r="N84">
        <v>16</v>
      </c>
      <c r="O84">
        <v>0</v>
      </c>
      <c r="P84">
        <v>6</v>
      </c>
      <c r="Q84">
        <v>7.9</v>
      </c>
      <c r="R84">
        <v>126.4</v>
      </c>
      <c r="S84">
        <v>15568</v>
      </c>
      <c r="T84">
        <v>11426</v>
      </c>
      <c r="U84">
        <v>159</v>
      </c>
      <c r="V84">
        <v>11267</v>
      </c>
      <c r="W84" s="3">
        <f t="shared" si="7"/>
        <v>89.137658227848092</v>
      </c>
      <c r="X84">
        <v>115.1855592022217</v>
      </c>
      <c r="Y84" s="3">
        <v>115.1855592022217</v>
      </c>
      <c r="Z84" s="4">
        <f t="shared" si="8"/>
        <v>0.77386140107508206</v>
      </c>
      <c r="AA84" s="5">
        <f t="shared" si="9"/>
        <v>135.15583123287666</v>
      </c>
      <c r="AB84" s="5">
        <f t="shared" si="10"/>
        <v>7.9</v>
      </c>
      <c r="AC84" s="5">
        <f t="shared" si="11"/>
        <v>18</v>
      </c>
      <c r="AD84" s="5">
        <f t="shared" si="12"/>
        <v>2</v>
      </c>
      <c r="AE84" s="5" t="str">
        <f t="shared" si="13"/>
        <v>Shortage</v>
      </c>
    </row>
    <row r="85" spans="1:31" x14ac:dyDescent="0.25">
      <c r="A85" t="s">
        <v>316</v>
      </c>
      <c r="B85" s="2">
        <v>45977</v>
      </c>
      <c r="C85" t="s">
        <v>317</v>
      </c>
      <c r="D85" t="s">
        <v>170</v>
      </c>
      <c r="E85" t="s">
        <v>171</v>
      </c>
      <c r="F85" t="s">
        <v>42</v>
      </c>
      <c r="G85" t="s">
        <v>43</v>
      </c>
      <c r="H85" t="s">
        <v>69</v>
      </c>
      <c r="I85">
        <v>9</v>
      </c>
      <c r="J85">
        <v>19</v>
      </c>
      <c r="K85">
        <v>7</v>
      </c>
      <c r="L85">
        <v>12</v>
      </c>
      <c r="M85">
        <v>0</v>
      </c>
      <c r="N85">
        <v>19</v>
      </c>
      <c r="O85">
        <v>3</v>
      </c>
      <c r="P85">
        <v>32</v>
      </c>
      <c r="Q85">
        <v>8.4700000000000006</v>
      </c>
      <c r="R85">
        <v>160.93</v>
      </c>
      <c r="S85">
        <v>21063</v>
      </c>
      <c r="T85">
        <v>16864</v>
      </c>
      <c r="U85">
        <v>485</v>
      </c>
      <c r="V85">
        <v>16379</v>
      </c>
      <c r="W85" s="3">
        <f t="shared" si="7"/>
        <v>101.77717019822282</v>
      </c>
      <c r="X85">
        <v>115.1855592022217</v>
      </c>
      <c r="Y85" s="3">
        <v>115.1855592022217</v>
      </c>
      <c r="Z85" s="4">
        <f t="shared" si="8"/>
        <v>0.88359314225788599</v>
      </c>
      <c r="AA85" s="5">
        <f t="shared" si="9"/>
        <v>182.86146410958898</v>
      </c>
      <c r="AB85" s="5">
        <f t="shared" si="10"/>
        <v>8.4666666666666668</v>
      </c>
      <c r="AC85" s="5">
        <f t="shared" si="11"/>
        <v>22</v>
      </c>
      <c r="AD85" s="5">
        <f t="shared" si="12"/>
        <v>3</v>
      </c>
      <c r="AE85" s="5" t="str">
        <f t="shared" si="13"/>
        <v>Shortage</v>
      </c>
    </row>
    <row r="86" spans="1:31" x14ac:dyDescent="0.25">
      <c r="A86" t="s">
        <v>318</v>
      </c>
      <c r="B86" s="2">
        <v>45978</v>
      </c>
      <c r="C86" t="s">
        <v>319</v>
      </c>
      <c r="D86" t="s">
        <v>320</v>
      </c>
      <c r="E86" t="s">
        <v>321</v>
      </c>
      <c r="F86" t="s">
        <v>42</v>
      </c>
      <c r="G86" t="s">
        <v>43</v>
      </c>
      <c r="H86" t="s">
        <v>50</v>
      </c>
      <c r="I86">
        <v>8</v>
      </c>
      <c r="J86">
        <v>21</v>
      </c>
      <c r="K86">
        <v>10</v>
      </c>
      <c r="L86">
        <v>11</v>
      </c>
      <c r="M86">
        <v>1</v>
      </c>
      <c r="N86">
        <v>20</v>
      </c>
      <c r="O86">
        <v>0</v>
      </c>
      <c r="P86">
        <v>19</v>
      </c>
      <c r="Q86">
        <v>7.68</v>
      </c>
      <c r="R86">
        <v>153.6</v>
      </c>
      <c r="S86">
        <v>20433</v>
      </c>
      <c r="T86">
        <v>16776</v>
      </c>
      <c r="U86">
        <v>191</v>
      </c>
      <c r="V86">
        <v>16585</v>
      </c>
      <c r="W86" s="3">
        <f t="shared" si="7"/>
        <v>107.97526041666667</v>
      </c>
      <c r="X86">
        <v>115.1855592022217</v>
      </c>
      <c r="Y86" s="3">
        <v>115.1855592022217</v>
      </c>
      <c r="Z86" s="4">
        <f t="shared" si="8"/>
        <v>0.93740275399543349</v>
      </c>
      <c r="AA86" s="5">
        <f t="shared" si="9"/>
        <v>177.39202849315063</v>
      </c>
      <c r="AB86" s="5">
        <f t="shared" si="10"/>
        <v>7.6833333333333336</v>
      </c>
      <c r="AC86" s="5">
        <f t="shared" si="11"/>
        <v>24</v>
      </c>
      <c r="AD86" s="5">
        <f t="shared" si="12"/>
        <v>4</v>
      </c>
      <c r="AE86" s="5" t="str">
        <f t="shared" si="13"/>
        <v>Shortage</v>
      </c>
    </row>
    <row r="87" spans="1:31" x14ac:dyDescent="0.25">
      <c r="A87" t="s">
        <v>322</v>
      </c>
      <c r="B87" s="2">
        <v>45978</v>
      </c>
      <c r="C87" t="s">
        <v>323</v>
      </c>
      <c r="D87" t="s">
        <v>324</v>
      </c>
      <c r="E87" t="s">
        <v>325</v>
      </c>
      <c r="F87" t="s">
        <v>42</v>
      </c>
      <c r="G87" t="s">
        <v>43</v>
      </c>
      <c r="H87" t="s">
        <v>37</v>
      </c>
      <c r="I87">
        <v>8</v>
      </c>
      <c r="J87">
        <v>23</v>
      </c>
      <c r="K87">
        <v>9</v>
      </c>
      <c r="L87">
        <v>14</v>
      </c>
      <c r="M87">
        <v>1</v>
      </c>
      <c r="N87">
        <v>22</v>
      </c>
      <c r="O87">
        <v>0</v>
      </c>
      <c r="P87">
        <v>29</v>
      </c>
      <c r="Q87">
        <v>7.52</v>
      </c>
      <c r="R87">
        <v>165.44</v>
      </c>
      <c r="S87">
        <v>16291</v>
      </c>
      <c r="T87">
        <v>15130</v>
      </c>
      <c r="U87">
        <v>244</v>
      </c>
      <c r="V87">
        <v>14886</v>
      </c>
      <c r="W87" s="3">
        <f t="shared" si="7"/>
        <v>89.978239845261129</v>
      </c>
      <c r="X87">
        <v>115.1855592022217</v>
      </c>
      <c r="Y87" s="3">
        <v>115.1855592022217</v>
      </c>
      <c r="Z87" s="4">
        <f t="shared" si="8"/>
        <v>0.78115903129222841</v>
      </c>
      <c r="AA87" s="5">
        <f t="shared" si="9"/>
        <v>141.43265972602737</v>
      </c>
      <c r="AB87" s="5">
        <f t="shared" si="10"/>
        <v>7.5166666666666666</v>
      </c>
      <c r="AC87" s="5">
        <f t="shared" si="11"/>
        <v>19</v>
      </c>
      <c r="AD87" s="5">
        <f t="shared" si="12"/>
        <v>-3</v>
      </c>
      <c r="AE87" s="5" t="str">
        <f t="shared" si="13"/>
        <v>Surplus</v>
      </c>
    </row>
    <row r="88" spans="1:31" x14ac:dyDescent="0.25">
      <c r="A88" t="s">
        <v>326</v>
      </c>
      <c r="B88" s="2">
        <v>45978</v>
      </c>
      <c r="C88" t="s">
        <v>327</v>
      </c>
      <c r="D88" t="s">
        <v>312</v>
      </c>
      <c r="E88" t="s">
        <v>313</v>
      </c>
      <c r="F88" t="s">
        <v>35</v>
      </c>
      <c r="G88" t="s">
        <v>43</v>
      </c>
      <c r="H88" t="s">
        <v>50</v>
      </c>
      <c r="I88">
        <v>8</v>
      </c>
      <c r="J88">
        <v>22</v>
      </c>
      <c r="K88">
        <v>7</v>
      </c>
      <c r="L88">
        <v>15</v>
      </c>
      <c r="M88">
        <v>0</v>
      </c>
      <c r="N88">
        <v>22</v>
      </c>
      <c r="O88">
        <v>0</v>
      </c>
      <c r="P88">
        <v>54</v>
      </c>
      <c r="Q88">
        <v>7.1</v>
      </c>
      <c r="R88">
        <v>156.19999999999999</v>
      </c>
      <c r="S88">
        <v>16777</v>
      </c>
      <c r="T88">
        <v>14221</v>
      </c>
      <c r="U88">
        <v>169</v>
      </c>
      <c r="V88">
        <v>14052</v>
      </c>
      <c r="W88" s="3">
        <f t="shared" si="7"/>
        <v>89.961587708066588</v>
      </c>
      <c r="X88">
        <v>118.01656521145939</v>
      </c>
      <c r="Y88" s="3">
        <v>118.01656521145939</v>
      </c>
      <c r="Z88" s="4">
        <f t="shared" si="8"/>
        <v>0.76227932533772236</v>
      </c>
      <c r="AA88" s="5">
        <f t="shared" si="9"/>
        <v>142.15800951281165</v>
      </c>
      <c r="AB88" s="5">
        <f t="shared" si="10"/>
        <v>7.1</v>
      </c>
      <c r="AC88" s="5">
        <f t="shared" si="11"/>
        <v>21</v>
      </c>
      <c r="AD88" s="5">
        <f t="shared" si="12"/>
        <v>-1</v>
      </c>
      <c r="AE88" s="5" t="str">
        <f t="shared" si="13"/>
        <v>Surplus</v>
      </c>
    </row>
    <row r="89" spans="1:31" x14ac:dyDescent="0.25">
      <c r="A89" t="s">
        <v>328</v>
      </c>
      <c r="B89" s="2">
        <v>45979</v>
      </c>
      <c r="C89" t="s">
        <v>329</v>
      </c>
      <c r="D89" t="s">
        <v>224</v>
      </c>
      <c r="E89" t="s">
        <v>225</v>
      </c>
      <c r="F89" t="s">
        <v>42</v>
      </c>
      <c r="G89" t="s">
        <v>36</v>
      </c>
      <c r="H89" t="s">
        <v>74</v>
      </c>
      <c r="I89">
        <v>9</v>
      </c>
      <c r="J89">
        <v>19</v>
      </c>
      <c r="K89">
        <v>9</v>
      </c>
      <c r="L89">
        <v>10</v>
      </c>
      <c r="M89">
        <v>0</v>
      </c>
      <c r="N89">
        <v>19</v>
      </c>
      <c r="O89">
        <v>2</v>
      </c>
      <c r="P89">
        <v>21</v>
      </c>
      <c r="Q89">
        <v>8.65</v>
      </c>
      <c r="R89">
        <v>164.35</v>
      </c>
      <c r="S89">
        <v>21544</v>
      </c>
      <c r="T89">
        <v>18726</v>
      </c>
      <c r="U89">
        <v>240</v>
      </c>
      <c r="V89">
        <v>18486</v>
      </c>
      <c r="W89" s="3">
        <f t="shared" si="7"/>
        <v>112.47946455734713</v>
      </c>
      <c r="X89">
        <v>112.98347693798689</v>
      </c>
      <c r="Y89" s="3">
        <v>112.98347693798689</v>
      </c>
      <c r="Z89" s="4">
        <f t="shared" si="8"/>
        <v>0.99553906115921353</v>
      </c>
      <c r="AA89" s="5">
        <f t="shared" si="9"/>
        <v>190.68274922911809</v>
      </c>
      <c r="AB89" s="5">
        <f t="shared" si="10"/>
        <v>8.65</v>
      </c>
      <c r="AC89" s="5">
        <f t="shared" si="11"/>
        <v>23</v>
      </c>
      <c r="AD89" s="5">
        <f t="shared" si="12"/>
        <v>4</v>
      </c>
      <c r="AE89" s="5" t="str">
        <f t="shared" si="13"/>
        <v>Shortage</v>
      </c>
    </row>
    <row r="90" spans="1:31" x14ac:dyDescent="0.25">
      <c r="A90" t="s">
        <v>330</v>
      </c>
      <c r="B90" s="2">
        <v>45979</v>
      </c>
      <c r="C90" t="s">
        <v>331</v>
      </c>
      <c r="D90" t="s">
        <v>332</v>
      </c>
      <c r="E90" t="s">
        <v>333</v>
      </c>
      <c r="F90" t="s">
        <v>35</v>
      </c>
      <c r="G90" t="s">
        <v>36</v>
      </c>
      <c r="H90" t="s">
        <v>69</v>
      </c>
      <c r="I90">
        <v>8</v>
      </c>
      <c r="J90">
        <v>21</v>
      </c>
      <c r="K90">
        <v>8</v>
      </c>
      <c r="L90">
        <v>13</v>
      </c>
      <c r="M90">
        <v>1</v>
      </c>
      <c r="N90">
        <v>20</v>
      </c>
      <c r="O90">
        <v>0</v>
      </c>
      <c r="P90">
        <v>45</v>
      </c>
      <c r="Q90">
        <v>7.25</v>
      </c>
      <c r="R90">
        <v>145</v>
      </c>
      <c r="S90">
        <v>19073</v>
      </c>
      <c r="T90">
        <v>15191</v>
      </c>
      <c r="U90">
        <v>287</v>
      </c>
      <c r="V90">
        <v>14904</v>
      </c>
      <c r="W90" s="3">
        <f t="shared" si="7"/>
        <v>102.78620689655172</v>
      </c>
      <c r="X90">
        <v>114.1563708384419</v>
      </c>
      <c r="Y90" s="3">
        <v>114.1563708384419</v>
      </c>
      <c r="Z90" s="4">
        <f t="shared" si="8"/>
        <v>0.90039834081637338</v>
      </c>
      <c r="AA90" s="5">
        <f t="shared" si="9"/>
        <v>167.07784120951757</v>
      </c>
      <c r="AB90" s="5">
        <f t="shared" si="10"/>
        <v>7.25</v>
      </c>
      <c r="AC90" s="5">
        <f t="shared" si="11"/>
        <v>24</v>
      </c>
      <c r="AD90" s="5">
        <f t="shared" si="12"/>
        <v>4</v>
      </c>
      <c r="AE90" s="5" t="str">
        <f t="shared" si="13"/>
        <v>Shortage</v>
      </c>
    </row>
    <row r="91" spans="1:31" x14ac:dyDescent="0.25">
      <c r="A91" t="s">
        <v>334</v>
      </c>
      <c r="B91" s="2">
        <v>45979</v>
      </c>
      <c r="C91" t="s">
        <v>335</v>
      </c>
      <c r="D91" t="s">
        <v>336</v>
      </c>
      <c r="E91" t="s">
        <v>337</v>
      </c>
      <c r="F91" t="s">
        <v>55</v>
      </c>
      <c r="G91" t="s">
        <v>43</v>
      </c>
      <c r="H91" t="s">
        <v>37</v>
      </c>
      <c r="I91">
        <v>10</v>
      </c>
      <c r="J91">
        <v>15</v>
      </c>
      <c r="K91">
        <v>7</v>
      </c>
      <c r="L91">
        <v>8</v>
      </c>
      <c r="M91">
        <v>0</v>
      </c>
      <c r="N91">
        <v>15</v>
      </c>
      <c r="O91">
        <v>3</v>
      </c>
      <c r="P91">
        <v>23</v>
      </c>
      <c r="Q91">
        <v>9.6199999999999992</v>
      </c>
      <c r="R91">
        <v>144.30000000000001</v>
      </c>
      <c r="S91">
        <v>11594</v>
      </c>
      <c r="T91">
        <v>10694</v>
      </c>
      <c r="U91">
        <v>53</v>
      </c>
      <c r="V91">
        <v>10641</v>
      </c>
      <c r="W91" s="3">
        <f t="shared" si="7"/>
        <v>73.742203742203742</v>
      </c>
      <c r="X91">
        <v>109.38855294136761</v>
      </c>
      <c r="Y91" s="3">
        <v>109.38855294136761</v>
      </c>
      <c r="Z91" s="4">
        <f t="shared" si="8"/>
        <v>0.67413090089718664</v>
      </c>
      <c r="AA91" s="5">
        <f t="shared" si="9"/>
        <v>105.98915232213007</v>
      </c>
      <c r="AB91" s="5">
        <f t="shared" si="10"/>
        <v>9.6166666666666671</v>
      </c>
      <c r="AC91" s="5">
        <f t="shared" si="11"/>
        <v>12</v>
      </c>
      <c r="AD91" s="5">
        <f t="shared" si="12"/>
        <v>-3</v>
      </c>
      <c r="AE91" s="5" t="str">
        <f t="shared" si="13"/>
        <v>Surplus</v>
      </c>
    </row>
    <row r="92" spans="1:31" x14ac:dyDescent="0.25">
      <c r="A92" t="s">
        <v>338</v>
      </c>
      <c r="B92" s="2">
        <v>45979</v>
      </c>
      <c r="C92" t="s">
        <v>339</v>
      </c>
      <c r="D92" t="s">
        <v>332</v>
      </c>
      <c r="E92" t="s">
        <v>333</v>
      </c>
      <c r="F92" t="s">
        <v>55</v>
      </c>
      <c r="G92" t="s">
        <v>79</v>
      </c>
      <c r="H92" t="s">
        <v>69</v>
      </c>
      <c r="I92">
        <v>8</v>
      </c>
      <c r="J92">
        <v>14</v>
      </c>
      <c r="K92">
        <v>7</v>
      </c>
      <c r="L92">
        <v>7</v>
      </c>
      <c r="M92">
        <v>0</v>
      </c>
      <c r="N92">
        <v>14</v>
      </c>
      <c r="O92">
        <v>0</v>
      </c>
      <c r="P92">
        <v>17</v>
      </c>
      <c r="Q92">
        <v>7.72</v>
      </c>
      <c r="R92">
        <v>108.08</v>
      </c>
      <c r="S92">
        <v>10911</v>
      </c>
      <c r="T92">
        <v>8740</v>
      </c>
      <c r="U92">
        <v>139</v>
      </c>
      <c r="V92">
        <v>8601</v>
      </c>
      <c r="W92" s="3">
        <f t="shared" si="7"/>
        <v>79.579940784603991</v>
      </c>
      <c r="X92">
        <v>99.520305551967823</v>
      </c>
      <c r="Y92" s="3">
        <v>99.520305551967823</v>
      </c>
      <c r="Z92" s="4">
        <f t="shared" si="8"/>
        <v>0.79963521357004563</v>
      </c>
      <c r="AA92" s="5">
        <f t="shared" si="9"/>
        <v>109.63591740885944</v>
      </c>
      <c r="AB92" s="5">
        <f t="shared" si="10"/>
        <v>7.7166666666666668</v>
      </c>
      <c r="AC92" s="5">
        <f t="shared" si="11"/>
        <v>15</v>
      </c>
      <c r="AD92" s="5">
        <f t="shared" si="12"/>
        <v>1</v>
      </c>
      <c r="AE92" s="5" t="str">
        <f t="shared" si="13"/>
        <v>Shortage</v>
      </c>
    </row>
    <row r="93" spans="1:31" x14ac:dyDescent="0.25">
      <c r="A93" t="s">
        <v>340</v>
      </c>
      <c r="B93" s="2">
        <v>45980</v>
      </c>
      <c r="C93" t="s">
        <v>341</v>
      </c>
      <c r="D93" t="s">
        <v>342</v>
      </c>
      <c r="E93" t="s">
        <v>343</v>
      </c>
      <c r="F93" t="s">
        <v>42</v>
      </c>
      <c r="G93" t="s">
        <v>43</v>
      </c>
      <c r="H93" t="s">
        <v>74</v>
      </c>
      <c r="I93">
        <v>9</v>
      </c>
      <c r="J93">
        <v>17</v>
      </c>
      <c r="K93">
        <v>5</v>
      </c>
      <c r="L93">
        <v>12</v>
      </c>
      <c r="M93">
        <v>1</v>
      </c>
      <c r="N93">
        <v>16</v>
      </c>
      <c r="O93">
        <v>2</v>
      </c>
      <c r="P93">
        <v>29</v>
      </c>
      <c r="Q93">
        <v>8.52</v>
      </c>
      <c r="R93">
        <v>136.32</v>
      </c>
      <c r="S93">
        <v>16268</v>
      </c>
      <c r="T93">
        <v>13589</v>
      </c>
      <c r="U93">
        <v>196</v>
      </c>
      <c r="V93">
        <v>13393</v>
      </c>
      <c r="W93" s="3">
        <f t="shared" si="7"/>
        <v>98.246772300469488</v>
      </c>
      <c r="X93">
        <v>115.1855592022217</v>
      </c>
      <c r="Y93" s="3">
        <v>115.1855592022217</v>
      </c>
      <c r="Z93" s="4">
        <f t="shared" si="8"/>
        <v>0.85294348511158247</v>
      </c>
      <c r="AA93" s="5">
        <f t="shared" si="9"/>
        <v>141.23298191780819</v>
      </c>
      <c r="AB93" s="5">
        <f t="shared" si="10"/>
        <v>8.5166666666666675</v>
      </c>
      <c r="AC93" s="5">
        <f t="shared" si="11"/>
        <v>17</v>
      </c>
      <c r="AD93" s="5">
        <f t="shared" si="12"/>
        <v>1</v>
      </c>
      <c r="AE93" s="5" t="str">
        <f t="shared" si="13"/>
        <v>Shortage</v>
      </c>
    </row>
    <row r="94" spans="1:31" x14ac:dyDescent="0.25">
      <c r="A94" t="s">
        <v>344</v>
      </c>
      <c r="B94" s="2">
        <v>45980</v>
      </c>
      <c r="C94" t="s">
        <v>345</v>
      </c>
      <c r="D94" t="s">
        <v>346</v>
      </c>
      <c r="E94" t="s">
        <v>347</v>
      </c>
      <c r="F94" t="s">
        <v>42</v>
      </c>
      <c r="G94" t="s">
        <v>79</v>
      </c>
      <c r="H94" t="s">
        <v>88</v>
      </c>
      <c r="I94">
        <v>8</v>
      </c>
      <c r="J94">
        <v>13</v>
      </c>
      <c r="K94">
        <v>6</v>
      </c>
      <c r="L94">
        <v>7</v>
      </c>
      <c r="M94">
        <v>1</v>
      </c>
      <c r="N94">
        <v>12</v>
      </c>
      <c r="O94">
        <v>0</v>
      </c>
      <c r="P94">
        <v>17</v>
      </c>
      <c r="Q94">
        <v>7.72</v>
      </c>
      <c r="R94">
        <v>92.64</v>
      </c>
      <c r="S94">
        <v>10848</v>
      </c>
      <c r="T94">
        <v>9748</v>
      </c>
      <c r="U94">
        <v>280</v>
      </c>
      <c r="V94">
        <v>9468</v>
      </c>
      <c r="W94" s="3">
        <f t="shared" si="7"/>
        <v>102.20207253886011</v>
      </c>
      <c r="X94">
        <v>99.399922570654283</v>
      </c>
      <c r="Y94" s="3">
        <v>99.399922570654283</v>
      </c>
      <c r="Z94" s="4">
        <f t="shared" si="8"/>
        <v>1.0281906655029236</v>
      </c>
      <c r="AA94" s="5">
        <f t="shared" si="9"/>
        <v>109.13489386562804</v>
      </c>
      <c r="AB94" s="5">
        <f t="shared" si="10"/>
        <v>7.7166666666666668</v>
      </c>
      <c r="AC94" s="5">
        <f t="shared" si="11"/>
        <v>15</v>
      </c>
      <c r="AD94" s="5">
        <f t="shared" si="12"/>
        <v>3</v>
      </c>
      <c r="AE94" s="5" t="str">
        <f t="shared" si="13"/>
        <v>Shortage</v>
      </c>
    </row>
    <row r="95" spans="1:31" x14ac:dyDescent="0.25">
      <c r="A95" t="s">
        <v>348</v>
      </c>
      <c r="B95" s="2">
        <v>45981</v>
      </c>
      <c r="C95" t="s">
        <v>349</v>
      </c>
      <c r="D95" t="s">
        <v>186</v>
      </c>
      <c r="E95" t="s">
        <v>187</v>
      </c>
      <c r="F95" t="s">
        <v>68</v>
      </c>
      <c r="G95" t="s">
        <v>36</v>
      </c>
      <c r="H95" t="s">
        <v>37</v>
      </c>
      <c r="I95">
        <v>9</v>
      </c>
      <c r="J95">
        <v>26</v>
      </c>
      <c r="K95">
        <v>10</v>
      </c>
      <c r="L95">
        <v>16</v>
      </c>
      <c r="M95">
        <v>0</v>
      </c>
      <c r="N95">
        <v>26</v>
      </c>
      <c r="O95">
        <v>0</v>
      </c>
      <c r="P95">
        <v>30</v>
      </c>
      <c r="Q95">
        <v>8.5</v>
      </c>
      <c r="R95">
        <v>221</v>
      </c>
      <c r="S95">
        <v>25467</v>
      </c>
      <c r="T95">
        <v>20460</v>
      </c>
      <c r="U95">
        <v>102</v>
      </c>
      <c r="V95">
        <v>20358</v>
      </c>
      <c r="W95" s="3">
        <f t="shared" si="7"/>
        <v>92.117647058823536</v>
      </c>
      <c r="X95">
        <v>120.8174989437542</v>
      </c>
      <c r="Y95" s="3">
        <v>120.8174989437542</v>
      </c>
      <c r="Z95" s="4">
        <f t="shared" si="8"/>
        <v>0.76245285545687635</v>
      </c>
      <c r="AA95" s="5">
        <f t="shared" si="9"/>
        <v>210.78900178074366</v>
      </c>
      <c r="AB95" s="5">
        <f t="shared" si="10"/>
        <v>8.5</v>
      </c>
      <c r="AC95" s="5">
        <f t="shared" si="11"/>
        <v>25</v>
      </c>
      <c r="AD95" s="5">
        <f t="shared" si="12"/>
        <v>-1</v>
      </c>
      <c r="AE95" s="5" t="str">
        <f t="shared" si="13"/>
        <v>Surplus</v>
      </c>
    </row>
    <row r="96" spans="1:31" x14ac:dyDescent="0.25">
      <c r="A96" t="s">
        <v>350</v>
      </c>
      <c r="B96" s="2">
        <v>45981</v>
      </c>
      <c r="C96" t="s">
        <v>351</v>
      </c>
      <c r="D96" t="s">
        <v>352</v>
      </c>
      <c r="E96" t="s">
        <v>157</v>
      </c>
      <c r="F96" t="s">
        <v>42</v>
      </c>
      <c r="G96" t="s">
        <v>79</v>
      </c>
      <c r="H96" t="s">
        <v>44</v>
      </c>
      <c r="I96">
        <v>8</v>
      </c>
      <c r="J96">
        <v>15</v>
      </c>
      <c r="K96">
        <v>5</v>
      </c>
      <c r="L96">
        <v>10</v>
      </c>
      <c r="M96">
        <v>0</v>
      </c>
      <c r="N96">
        <v>15</v>
      </c>
      <c r="O96">
        <v>0</v>
      </c>
      <c r="P96">
        <v>7</v>
      </c>
      <c r="Q96">
        <v>7.88</v>
      </c>
      <c r="R96">
        <v>118.2</v>
      </c>
      <c r="S96">
        <v>13090</v>
      </c>
      <c r="T96">
        <v>11882</v>
      </c>
      <c r="U96">
        <v>143</v>
      </c>
      <c r="V96">
        <v>11739</v>
      </c>
      <c r="W96" s="3">
        <f t="shared" si="7"/>
        <v>99.314720812182742</v>
      </c>
      <c r="X96">
        <v>99.399922570654283</v>
      </c>
      <c r="Y96" s="3">
        <v>99.399922570654283</v>
      </c>
      <c r="Z96" s="4">
        <f t="shared" si="8"/>
        <v>0.99914283878429599</v>
      </c>
      <c r="AA96" s="5">
        <f t="shared" si="9"/>
        <v>131.6902434274586</v>
      </c>
      <c r="AB96" s="5">
        <f t="shared" si="10"/>
        <v>7.8833333333333337</v>
      </c>
      <c r="AC96" s="5">
        <f t="shared" si="11"/>
        <v>17</v>
      </c>
      <c r="AD96" s="5">
        <f t="shared" si="12"/>
        <v>2</v>
      </c>
      <c r="AE96" s="5" t="str">
        <f t="shared" si="13"/>
        <v>Shortage</v>
      </c>
    </row>
    <row r="97" spans="1:31" x14ac:dyDescent="0.25">
      <c r="A97" t="s">
        <v>353</v>
      </c>
      <c r="B97" s="2">
        <v>45982</v>
      </c>
      <c r="C97" t="s">
        <v>354</v>
      </c>
      <c r="D97" t="s">
        <v>355</v>
      </c>
      <c r="E97" t="s">
        <v>356</v>
      </c>
      <c r="F97" t="s">
        <v>42</v>
      </c>
      <c r="G97" t="s">
        <v>36</v>
      </c>
      <c r="H97" t="s">
        <v>74</v>
      </c>
      <c r="I97">
        <v>8</v>
      </c>
      <c r="J97">
        <v>20</v>
      </c>
      <c r="K97">
        <v>7</v>
      </c>
      <c r="L97">
        <v>13</v>
      </c>
      <c r="M97">
        <v>0</v>
      </c>
      <c r="N97">
        <v>20</v>
      </c>
      <c r="O97">
        <v>1</v>
      </c>
      <c r="P97">
        <v>51</v>
      </c>
      <c r="Q97">
        <v>7.15</v>
      </c>
      <c r="R97">
        <v>143</v>
      </c>
      <c r="S97">
        <v>17626</v>
      </c>
      <c r="T97">
        <v>16407</v>
      </c>
      <c r="U97">
        <v>608</v>
      </c>
      <c r="V97">
        <v>15799</v>
      </c>
      <c r="W97" s="3">
        <f t="shared" si="7"/>
        <v>110.48251748251748</v>
      </c>
      <c r="X97">
        <v>112.98347693798689</v>
      </c>
      <c r="Y97" s="3">
        <v>112.98347693798689</v>
      </c>
      <c r="Z97" s="4">
        <f t="shared" si="8"/>
        <v>0.97786437872820897</v>
      </c>
      <c r="AA97" s="5">
        <f t="shared" si="9"/>
        <v>156.0051122313607</v>
      </c>
      <c r="AB97" s="5">
        <f t="shared" si="10"/>
        <v>7.15</v>
      </c>
      <c r="AC97" s="5">
        <f t="shared" si="11"/>
        <v>22</v>
      </c>
      <c r="AD97" s="5">
        <f t="shared" si="12"/>
        <v>2</v>
      </c>
      <c r="AE97" s="5" t="str">
        <f t="shared" si="13"/>
        <v>Shortage</v>
      </c>
    </row>
    <row r="98" spans="1:31" x14ac:dyDescent="0.25">
      <c r="A98" t="s">
        <v>357</v>
      </c>
      <c r="B98" s="2">
        <v>45982</v>
      </c>
      <c r="C98" t="s">
        <v>358</v>
      </c>
      <c r="D98" t="s">
        <v>359</v>
      </c>
      <c r="E98" t="s">
        <v>360</v>
      </c>
      <c r="F98" t="s">
        <v>42</v>
      </c>
      <c r="G98" t="s">
        <v>43</v>
      </c>
      <c r="H98" t="s">
        <v>50</v>
      </c>
      <c r="I98">
        <v>8</v>
      </c>
      <c r="J98">
        <v>20</v>
      </c>
      <c r="K98">
        <v>9</v>
      </c>
      <c r="L98">
        <v>11</v>
      </c>
      <c r="M98">
        <v>0</v>
      </c>
      <c r="N98">
        <v>20</v>
      </c>
      <c r="O98">
        <v>2</v>
      </c>
      <c r="P98">
        <v>26</v>
      </c>
      <c r="Q98">
        <v>7.57</v>
      </c>
      <c r="R98">
        <v>151.4</v>
      </c>
      <c r="S98">
        <v>19590</v>
      </c>
      <c r="T98">
        <v>16322</v>
      </c>
      <c r="U98">
        <v>626</v>
      </c>
      <c r="V98">
        <v>15696</v>
      </c>
      <c r="W98" s="3">
        <f t="shared" si="7"/>
        <v>103.67239101717304</v>
      </c>
      <c r="X98">
        <v>115.1855592022217</v>
      </c>
      <c r="Y98" s="3">
        <v>115.1855592022217</v>
      </c>
      <c r="Z98" s="4">
        <f t="shared" si="8"/>
        <v>0.90004677439785707</v>
      </c>
      <c r="AA98" s="5">
        <f t="shared" si="9"/>
        <v>170.07340273972596</v>
      </c>
      <c r="AB98" s="5">
        <f t="shared" si="10"/>
        <v>7.5666666666666664</v>
      </c>
      <c r="AC98" s="5">
        <f t="shared" si="11"/>
        <v>23</v>
      </c>
      <c r="AD98" s="5">
        <f t="shared" si="12"/>
        <v>3</v>
      </c>
      <c r="AE98" s="5" t="str">
        <f t="shared" si="13"/>
        <v>Shortage</v>
      </c>
    </row>
    <row r="99" spans="1:31" x14ac:dyDescent="0.25">
      <c r="A99" t="s">
        <v>361</v>
      </c>
      <c r="B99" s="2">
        <v>45983</v>
      </c>
      <c r="C99" t="s">
        <v>362</v>
      </c>
      <c r="D99" t="s">
        <v>363</v>
      </c>
      <c r="E99" t="s">
        <v>364</v>
      </c>
      <c r="F99" t="s">
        <v>35</v>
      </c>
      <c r="G99" t="s">
        <v>36</v>
      </c>
      <c r="H99" t="s">
        <v>37</v>
      </c>
      <c r="I99">
        <v>8</v>
      </c>
      <c r="J99">
        <v>22</v>
      </c>
      <c r="K99">
        <v>9</v>
      </c>
      <c r="L99">
        <v>13</v>
      </c>
      <c r="M99">
        <v>0</v>
      </c>
      <c r="N99">
        <v>22</v>
      </c>
      <c r="O99">
        <v>0</v>
      </c>
      <c r="P99">
        <v>16</v>
      </c>
      <c r="Q99">
        <v>7.73</v>
      </c>
      <c r="R99">
        <v>170.06</v>
      </c>
      <c r="S99">
        <v>14354</v>
      </c>
      <c r="T99">
        <v>13148</v>
      </c>
      <c r="U99">
        <v>288</v>
      </c>
      <c r="V99">
        <v>12860</v>
      </c>
      <c r="W99" s="3">
        <f t="shared" si="7"/>
        <v>75.620369281430087</v>
      </c>
      <c r="X99">
        <v>114.1563708384419</v>
      </c>
      <c r="Y99" s="3">
        <v>114.1563708384419</v>
      </c>
      <c r="Z99" s="4">
        <f t="shared" si="8"/>
        <v>0.66242793745125872</v>
      </c>
      <c r="AA99" s="5">
        <f t="shared" si="9"/>
        <v>125.73980667547923</v>
      </c>
      <c r="AB99" s="5">
        <f t="shared" si="10"/>
        <v>7.7333333333333334</v>
      </c>
      <c r="AC99" s="5">
        <f t="shared" si="11"/>
        <v>17</v>
      </c>
      <c r="AD99" s="5">
        <f t="shared" si="12"/>
        <v>-5</v>
      </c>
      <c r="AE99" s="5" t="str">
        <f t="shared" si="13"/>
        <v>Surplus</v>
      </c>
    </row>
    <row r="100" spans="1:31" x14ac:dyDescent="0.25">
      <c r="A100" t="s">
        <v>365</v>
      </c>
      <c r="B100" s="2">
        <v>45984</v>
      </c>
      <c r="C100" t="s">
        <v>366</v>
      </c>
      <c r="D100" t="s">
        <v>303</v>
      </c>
      <c r="E100" t="s">
        <v>304</v>
      </c>
      <c r="F100" t="s">
        <v>55</v>
      </c>
      <c r="G100" t="s">
        <v>36</v>
      </c>
      <c r="H100" t="s">
        <v>50</v>
      </c>
      <c r="I100">
        <v>8</v>
      </c>
      <c r="J100">
        <v>19</v>
      </c>
      <c r="K100">
        <v>9</v>
      </c>
      <c r="L100">
        <v>10</v>
      </c>
      <c r="M100">
        <v>1</v>
      </c>
      <c r="N100">
        <v>18</v>
      </c>
      <c r="O100">
        <v>3</v>
      </c>
      <c r="P100">
        <v>27</v>
      </c>
      <c r="Q100">
        <v>7.55</v>
      </c>
      <c r="R100">
        <v>135.9</v>
      </c>
      <c r="S100">
        <v>16258</v>
      </c>
      <c r="T100">
        <v>15149</v>
      </c>
      <c r="U100">
        <v>294</v>
      </c>
      <c r="V100">
        <v>14855</v>
      </c>
      <c r="W100" s="3">
        <f t="shared" si="7"/>
        <v>109.308314937454</v>
      </c>
      <c r="X100">
        <v>108.32817332835501</v>
      </c>
      <c r="Y100" s="3">
        <v>108.32817332835501</v>
      </c>
      <c r="Z100" s="4">
        <f t="shared" si="8"/>
        <v>1.0090478919655377</v>
      </c>
      <c r="AA100" s="5">
        <f t="shared" si="9"/>
        <v>150.08099463396428</v>
      </c>
      <c r="AB100" s="5">
        <f t="shared" si="10"/>
        <v>7.55</v>
      </c>
      <c r="AC100" s="5">
        <f t="shared" si="11"/>
        <v>20</v>
      </c>
      <c r="AD100" s="5">
        <f t="shared" si="12"/>
        <v>2</v>
      </c>
      <c r="AE100" s="5" t="str">
        <f t="shared" si="13"/>
        <v>Shortage</v>
      </c>
    </row>
    <row r="101" spans="1:31" x14ac:dyDescent="0.25">
      <c r="A101" t="s">
        <v>367</v>
      </c>
      <c r="B101" s="2">
        <v>45984</v>
      </c>
      <c r="C101" t="s">
        <v>368</v>
      </c>
      <c r="D101" t="s">
        <v>293</v>
      </c>
      <c r="E101" t="s">
        <v>294</v>
      </c>
      <c r="F101" t="s">
        <v>42</v>
      </c>
      <c r="G101" t="s">
        <v>43</v>
      </c>
      <c r="H101" t="s">
        <v>37</v>
      </c>
      <c r="I101">
        <v>8</v>
      </c>
      <c r="J101">
        <v>17</v>
      </c>
      <c r="K101">
        <v>7</v>
      </c>
      <c r="L101">
        <v>10</v>
      </c>
      <c r="M101">
        <v>0</v>
      </c>
      <c r="N101">
        <v>17</v>
      </c>
      <c r="O101">
        <v>0</v>
      </c>
      <c r="P101">
        <v>20</v>
      </c>
      <c r="Q101">
        <v>7.67</v>
      </c>
      <c r="R101">
        <v>130.38999999999999</v>
      </c>
      <c r="S101">
        <v>17050</v>
      </c>
      <c r="T101">
        <v>14468</v>
      </c>
      <c r="U101">
        <v>254</v>
      </c>
      <c r="V101">
        <v>14214</v>
      </c>
      <c r="W101" s="3">
        <f t="shared" si="7"/>
        <v>109.01142725669148</v>
      </c>
      <c r="X101">
        <v>115.1855592022217</v>
      </c>
      <c r="Y101" s="3">
        <v>115.1855592022217</v>
      </c>
      <c r="Z101" s="4">
        <f t="shared" si="8"/>
        <v>0.94639838545480504</v>
      </c>
      <c r="AA101" s="5">
        <f t="shared" si="9"/>
        <v>148.02202739726022</v>
      </c>
      <c r="AB101" s="5">
        <f t="shared" si="10"/>
        <v>7.666666666666667</v>
      </c>
      <c r="AC101" s="5">
        <f t="shared" si="11"/>
        <v>20</v>
      </c>
      <c r="AD101" s="5">
        <f t="shared" si="12"/>
        <v>3</v>
      </c>
      <c r="AE101" s="5" t="str">
        <f t="shared" si="13"/>
        <v>Shortage</v>
      </c>
    </row>
    <row r="102" spans="1:31" x14ac:dyDescent="0.25">
      <c r="A102" t="s">
        <v>369</v>
      </c>
      <c r="B102" s="2">
        <v>45984</v>
      </c>
      <c r="C102" t="s">
        <v>370</v>
      </c>
      <c r="D102" t="s">
        <v>371</v>
      </c>
      <c r="E102" t="s">
        <v>372</v>
      </c>
      <c r="F102" t="s">
        <v>49</v>
      </c>
      <c r="G102" t="s">
        <v>43</v>
      </c>
      <c r="H102" t="s">
        <v>69</v>
      </c>
      <c r="I102">
        <v>8</v>
      </c>
      <c r="J102">
        <v>21</v>
      </c>
      <c r="K102">
        <v>8</v>
      </c>
      <c r="L102">
        <v>13</v>
      </c>
      <c r="M102">
        <v>0</v>
      </c>
      <c r="N102">
        <v>21</v>
      </c>
      <c r="O102">
        <v>2</v>
      </c>
      <c r="P102">
        <v>15</v>
      </c>
      <c r="Q102">
        <v>7.75</v>
      </c>
      <c r="R102">
        <v>162.75</v>
      </c>
      <c r="S102">
        <v>20401</v>
      </c>
      <c r="T102">
        <v>18928</v>
      </c>
      <c r="U102">
        <v>641</v>
      </c>
      <c r="V102">
        <v>18287</v>
      </c>
      <c r="W102" s="3">
        <f t="shared" si="7"/>
        <v>112.36251920122888</v>
      </c>
      <c r="X102">
        <v>124.78240035826239</v>
      </c>
      <c r="Y102" s="3">
        <v>124.78240035826239</v>
      </c>
      <c r="Z102" s="4">
        <f t="shared" si="8"/>
        <v>0.90046768517535458</v>
      </c>
      <c r="AA102" s="5">
        <f t="shared" si="9"/>
        <v>163.49260746248467</v>
      </c>
      <c r="AB102" s="5">
        <f t="shared" si="10"/>
        <v>7.75</v>
      </c>
      <c r="AC102" s="5">
        <f t="shared" si="11"/>
        <v>22</v>
      </c>
      <c r="AD102" s="5">
        <f t="shared" si="12"/>
        <v>1</v>
      </c>
      <c r="AE102" s="5" t="str">
        <f t="shared" si="13"/>
        <v>Shortage</v>
      </c>
    </row>
    <row r="103" spans="1:31" x14ac:dyDescent="0.25">
      <c r="A103" t="s">
        <v>373</v>
      </c>
      <c r="B103" s="2">
        <v>45984</v>
      </c>
      <c r="C103" t="s">
        <v>374</v>
      </c>
      <c r="D103" t="s">
        <v>111</v>
      </c>
      <c r="E103" t="s">
        <v>112</v>
      </c>
      <c r="F103" t="s">
        <v>49</v>
      </c>
      <c r="G103" t="s">
        <v>79</v>
      </c>
      <c r="H103" t="s">
        <v>44</v>
      </c>
      <c r="I103">
        <v>8</v>
      </c>
      <c r="J103">
        <v>19</v>
      </c>
      <c r="K103">
        <v>8</v>
      </c>
      <c r="L103">
        <v>11</v>
      </c>
      <c r="M103">
        <v>0</v>
      </c>
      <c r="N103">
        <v>19</v>
      </c>
      <c r="O103">
        <v>2</v>
      </c>
      <c r="P103">
        <v>9</v>
      </c>
      <c r="Q103">
        <v>7.85</v>
      </c>
      <c r="R103">
        <v>149.15</v>
      </c>
      <c r="S103">
        <v>17234</v>
      </c>
      <c r="T103">
        <v>15027</v>
      </c>
      <c r="U103">
        <v>512</v>
      </c>
      <c r="V103">
        <v>14515</v>
      </c>
      <c r="W103" s="3">
        <f t="shared" si="7"/>
        <v>97.318136104592682</v>
      </c>
      <c r="X103">
        <v>107.36289227751951</v>
      </c>
      <c r="Y103" s="3">
        <v>107.36289227751951</v>
      </c>
      <c r="Z103" s="4">
        <f t="shared" si="8"/>
        <v>0.90644108071378704</v>
      </c>
      <c r="AA103" s="5">
        <f t="shared" si="9"/>
        <v>160.52101088570052</v>
      </c>
      <c r="AB103" s="5">
        <f t="shared" si="10"/>
        <v>7.85</v>
      </c>
      <c r="AC103" s="5">
        <f t="shared" si="11"/>
        <v>21</v>
      </c>
      <c r="AD103" s="5">
        <f t="shared" si="12"/>
        <v>2</v>
      </c>
      <c r="AE103" s="5" t="str">
        <f t="shared" si="13"/>
        <v>Shortage</v>
      </c>
    </row>
    <row r="104" spans="1:31" x14ac:dyDescent="0.25">
      <c r="A104" t="s">
        <v>375</v>
      </c>
      <c r="B104" s="2">
        <v>45985</v>
      </c>
      <c r="C104" t="s">
        <v>376</v>
      </c>
      <c r="D104" t="s">
        <v>160</v>
      </c>
      <c r="E104" t="s">
        <v>161</v>
      </c>
      <c r="F104" t="s">
        <v>55</v>
      </c>
      <c r="G104" t="s">
        <v>36</v>
      </c>
      <c r="H104" t="s">
        <v>88</v>
      </c>
      <c r="I104">
        <v>9</v>
      </c>
      <c r="J104">
        <v>19</v>
      </c>
      <c r="K104">
        <v>8</v>
      </c>
      <c r="L104">
        <v>11</v>
      </c>
      <c r="M104">
        <v>0</v>
      </c>
      <c r="N104">
        <v>19</v>
      </c>
      <c r="O104">
        <v>0</v>
      </c>
      <c r="P104">
        <v>31</v>
      </c>
      <c r="Q104">
        <v>8.48</v>
      </c>
      <c r="R104">
        <v>161.12</v>
      </c>
      <c r="S104">
        <v>20256</v>
      </c>
      <c r="T104">
        <v>15577</v>
      </c>
      <c r="U104">
        <v>464</v>
      </c>
      <c r="V104">
        <v>15113</v>
      </c>
      <c r="W104" s="3">
        <f t="shared" si="7"/>
        <v>93.799652432969211</v>
      </c>
      <c r="X104">
        <v>108.32817332835501</v>
      </c>
      <c r="Y104" s="3">
        <v>108.32817332835501</v>
      </c>
      <c r="Z104" s="4">
        <f t="shared" si="8"/>
        <v>0.86588418830484482</v>
      </c>
      <c r="AA104" s="5">
        <f t="shared" si="9"/>
        <v>186.98736789922378</v>
      </c>
      <c r="AB104" s="5">
        <f t="shared" si="10"/>
        <v>8.4833333333333325</v>
      </c>
      <c r="AC104" s="5">
        <f t="shared" si="11"/>
        <v>23</v>
      </c>
      <c r="AD104" s="5">
        <f t="shared" si="12"/>
        <v>4</v>
      </c>
      <c r="AE104" s="5" t="str">
        <f t="shared" si="13"/>
        <v>Shortage</v>
      </c>
    </row>
    <row r="105" spans="1:31" x14ac:dyDescent="0.25">
      <c r="A105" t="s">
        <v>377</v>
      </c>
      <c r="B105" s="2">
        <v>45985</v>
      </c>
      <c r="C105" t="s">
        <v>378</v>
      </c>
      <c r="D105" t="s">
        <v>33</v>
      </c>
      <c r="E105" t="s">
        <v>34</v>
      </c>
      <c r="F105" t="s">
        <v>49</v>
      </c>
      <c r="G105" t="s">
        <v>43</v>
      </c>
      <c r="H105" t="s">
        <v>44</v>
      </c>
      <c r="I105">
        <v>10</v>
      </c>
      <c r="J105">
        <v>25</v>
      </c>
      <c r="K105">
        <v>8</v>
      </c>
      <c r="L105">
        <v>17</v>
      </c>
      <c r="M105">
        <v>0</v>
      </c>
      <c r="N105">
        <v>25</v>
      </c>
      <c r="O105">
        <v>3</v>
      </c>
      <c r="P105">
        <v>30</v>
      </c>
      <c r="Q105">
        <v>9.5</v>
      </c>
      <c r="R105">
        <v>237.5</v>
      </c>
      <c r="S105">
        <v>34043</v>
      </c>
      <c r="T105">
        <v>32777</v>
      </c>
      <c r="U105">
        <v>164</v>
      </c>
      <c r="V105">
        <v>32613</v>
      </c>
      <c r="W105" s="3">
        <f t="shared" si="7"/>
        <v>137.31789473684211</v>
      </c>
      <c r="X105">
        <v>124.78240035826239</v>
      </c>
      <c r="Y105" s="3">
        <v>124.78240035826239</v>
      </c>
      <c r="Z105" s="4">
        <f t="shared" si="8"/>
        <v>1.1004588334780312</v>
      </c>
      <c r="AA105" s="5">
        <f t="shared" si="9"/>
        <v>272.81892239818467</v>
      </c>
      <c r="AB105" s="5">
        <f t="shared" si="10"/>
        <v>9.5</v>
      </c>
      <c r="AC105" s="5">
        <f t="shared" si="11"/>
        <v>29</v>
      </c>
      <c r="AD105" s="5">
        <f t="shared" si="12"/>
        <v>4</v>
      </c>
      <c r="AE105" s="5" t="str">
        <f t="shared" si="13"/>
        <v>Shortage</v>
      </c>
    </row>
    <row r="106" spans="1:31" x14ac:dyDescent="0.25">
      <c r="A106" t="s">
        <v>379</v>
      </c>
      <c r="B106" s="2">
        <v>45986</v>
      </c>
      <c r="C106" t="s">
        <v>380</v>
      </c>
      <c r="D106" t="s">
        <v>342</v>
      </c>
      <c r="E106" t="s">
        <v>343</v>
      </c>
      <c r="F106" t="s">
        <v>68</v>
      </c>
      <c r="G106" t="s">
        <v>36</v>
      </c>
      <c r="H106" t="s">
        <v>44</v>
      </c>
      <c r="I106">
        <v>9</v>
      </c>
      <c r="J106">
        <v>22</v>
      </c>
      <c r="K106">
        <v>10</v>
      </c>
      <c r="L106">
        <v>12</v>
      </c>
      <c r="M106">
        <v>3</v>
      </c>
      <c r="N106">
        <v>19</v>
      </c>
      <c r="O106">
        <v>2</v>
      </c>
      <c r="P106">
        <v>20</v>
      </c>
      <c r="Q106">
        <v>8.67</v>
      </c>
      <c r="R106">
        <v>164.73</v>
      </c>
      <c r="S106">
        <v>24371</v>
      </c>
      <c r="T106">
        <v>19046</v>
      </c>
      <c r="U106">
        <v>401</v>
      </c>
      <c r="V106">
        <v>18645</v>
      </c>
      <c r="W106" s="3">
        <f t="shared" si="7"/>
        <v>113.18521216536151</v>
      </c>
      <c r="X106">
        <v>120.8174989437542</v>
      </c>
      <c r="Y106" s="3">
        <v>120.8174989437542</v>
      </c>
      <c r="Z106" s="4">
        <f t="shared" si="8"/>
        <v>0.93682796908462851</v>
      </c>
      <c r="AA106" s="5">
        <f t="shared" si="9"/>
        <v>201.7174681901482</v>
      </c>
      <c r="AB106" s="5">
        <f t="shared" si="10"/>
        <v>8.6666666666666661</v>
      </c>
      <c r="AC106" s="5">
        <f t="shared" si="11"/>
        <v>24</v>
      </c>
      <c r="AD106" s="5">
        <f t="shared" si="12"/>
        <v>5</v>
      </c>
      <c r="AE106" s="5" t="str">
        <f t="shared" si="13"/>
        <v>Shortage</v>
      </c>
    </row>
    <row r="107" spans="1:31" x14ac:dyDescent="0.25">
      <c r="A107" t="s">
        <v>381</v>
      </c>
      <c r="B107" s="2">
        <v>45989</v>
      </c>
      <c r="C107" t="s">
        <v>382</v>
      </c>
      <c r="D107" t="s">
        <v>248</v>
      </c>
      <c r="E107" t="s">
        <v>249</v>
      </c>
      <c r="F107" t="s">
        <v>42</v>
      </c>
      <c r="G107" t="s">
        <v>36</v>
      </c>
      <c r="H107" t="s">
        <v>88</v>
      </c>
      <c r="I107">
        <v>8</v>
      </c>
      <c r="J107">
        <v>19</v>
      </c>
      <c r="K107">
        <v>9</v>
      </c>
      <c r="L107">
        <v>10</v>
      </c>
      <c r="M107">
        <v>2</v>
      </c>
      <c r="N107">
        <v>17</v>
      </c>
      <c r="O107">
        <v>1</v>
      </c>
      <c r="P107">
        <v>41</v>
      </c>
      <c r="Q107">
        <v>7.32</v>
      </c>
      <c r="R107">
        <v>124.44</v>
      </c>
      <c r="S107">
        <v>14899</v>
      </c>
      <c r="T107">
        <v>11812</v>
      </c>
      <c r="U107">
        <v>349</v>
      </c>
      <c r="V107">
        <v>11463</v>
      </c>
      <c r="W107" s="3">
        <f t="shared" si="7"/>
        <v>92.11668273866924</v>
      </c>
      <c r="X107">
        <v>112.98347693798689</v>
      </c>
      <c r="Y107" s="3">
        <v>112.98347693798689</v>
      </c>
      <c r="Z107" s="4">
        <f t="shared" si="8"/>
        <v>0.81531109888952358</v>
      </c>
      <c r="AA107" s="5">
        <f t="shared" si="9"/>
        <v>131.8688396195985</v>
      </c>
      <c r="AB107" s="5">
        <f t="shared" si="10"/>
        <v>7.3166666666666664</v>
      </c>
      <c r="AC107" s="5">
        <f t="shared" si="11"/>
        <v>19</v>
      </c>
      <c r="AD107" s="5">
        <f t="shared" si="12"/>
        <v>2</v>
      </c>
      <c r="AE107" s="5" t="str">
        <f t="shared" si="13"/>
        <v>Shortage</v>
      </c>
    </row>
    <row r="108" spans="1:31" x14ac:dyDescent="0.25">
      <c r="A108" t="s">
        <v>383</v>
      </c>
      <c r="B108" s="2">
        <v>45990</v>
      </c>
      <c r="C108" t="s">
        <v>384</v>
      </c>
      <c r="D108" t="s">
        <v>336</v>
      </c>
      <c r="E108" t="s">
        <v>337</v>
      </c>
      <c r="F108" t="s">
        <v>35</v>
      </c>
      <c r="G108" t="s">
        <v>43</v>
      </c>
      <c r="H108" t="s">
        <v>74</v>
      </c>
      <c r="I108">
        <v>8</v>
      </c>
      <c r="J108">
        <v>23</v>
      </c>
      <c r="K108">
        <v>10</v>
      </c>
      <c r="L108">
        <v>13</v>
      </c>
      <c r="M108">
        <v>0</v>
      </c>
      <c r="N108">
        <v>23</v>
      </c>
      <c r="O108">
        <v>2</v>
      </c>
      <c r="P108">
        <v>43</v>
      </c>
      <c r="Q108">
        <v>7.28</v>
      </c>
      <c r="R108">
        <v>167.44</v>
      </c>
      <c r="S108">
        <v>17417</v>
      </c>
      <c r="T108">
        <v>13308</v>
      </c>
      <c r="U108">
        <v>368</v>
      </c>
      <c r="V108">
        <v>12940</v>
      </c>
      <c r="W108" s="3">
        <f t="shared" si="7"/>
        <v>77.281414237935977</v>
      </c>
      <c r="X108">
        <v>118.01656521145939</v>
      </c>
      <c r="Y108" s="3">
        <v>118.01656521145939</v>
      </c>
      <c r="Z108" s="4">
        <f t="shared" si="8"/>
        <v>0.65483531146212315</v>
      </c>
      <c r="AA108" s="5">
        <f t="shared" si="9"/>
        <v>147.58097703311918</v>
      </c>
      <c r="AB108" s="5">
        <f t="shared" si="10"/>
        <v>7.2833333333333332</v>
      </c>
      <c r="AC108" s="5">
        <f t="shared" si="11"/>
        <v>21</v>
      </c>
      <c r="AD108" s="5">
        <f t="shared" si="12"/>
        <v>-2</v>
      </c>
      <c r="AE108" s="5" t="str">
        <f t="shared" si="13"/>
        <v>Surplus</v>
      </c>
    </row>
    <row r="109" spans="1:31" x14ac:dyDescent="0.25">
      <c r="A109" t="s">
        <v>385</v>
      </c>
      <c r="B109" s="2">
        <v>45990</v>
      </c>
      <c r="C109" t="s">
        <v>386</v>
      </c>
      <c r="D109" t="s">
        <v>186</v>
      </c>
      <c r="E109" t="s">
        <v>187</v>
      </c>
      <c r="F109" t="s">
        <v>35</v>
      </c>
      <c r="G109" t="s">
        <v>79</v>
      </c>
      <c r="H109" t="s">
        <v>50</v>
      </c>
      <c r="I109">
        <v>10</v>
      </c>
      <c r="J109">
        <v>19</v>
      </c>
      <c r="K109">
        <v>8</v>
      </c>
      <c r="L109">
        <v>11</v>
      </c>
      <c r="M109">
        <v>1</v>
      </c>
      <c r="N109">
        <v>18</v>
      </c>
      <c r="O109">
        <v>0</v>
      </c>
      <c r="P109">
        <v>12</v>
      </c>
      <c r="Q109">
        <v>9.8000000000000007</v>
      </c>
      <c r="R109">
        <v>176.4</v>
      </c>
      <c r="S109">
        <v>16045</v>
      </c>
      <c r="T109">
        <v>14984</v>
      </c>
      <c r="U109">
        <v>229</v>
      </c>
      <c r="V109">
        <v>14755</v>
      </c>
      <c r="W109" s="3">
        <f t="shared" si="7"/>
        <v>83.645124716553283</v>
      </c>
      <c r="X109">
        <v>100.6650131940286</v>
      </c>
      <c r="Y109" s="3">
        <v>100.6650131940286</v>
      </c>
      <c r="Z109" s="4">
        <f t="shared" si="8"/>
        <v>0.83092548307056768</v>
      </c>
      <c r="AA109" s="5">
        <f t="shared" si="9"/>
        <v>159.39003523571566</v>
      </c>
      <c r="AB109" s="5">
        <f t="shared" si="10"/>
        <v>9.8000000000000007</v>
      </c>
      <c r="AC109" s="5">
        <f t="shared" si="11"/>
        <v>17</v>
      </c>
      <c r="AD109" s="5">
        <f t="shared" si="12"/>
        <v>-1</v>
      </c>
      <c r="AE109" s="5" t="str">
        <f t="shared" si="13"/>
        <v>Surplus</v>
      </c>
    </row>
    <row r="110" spans="1:31" x14ac:dyDescent="0.25">
      <c r="A110" t="s">
        <v>387</v>
      </c>
      <c r="B110" s="2">
        <v>45991</v>
      </c>
      <c r="C110" t="s">
        <v>388</v>
      </c>
      <c r="D110" t="s">
        <v>47</v>
      </c>
      <c r="E110" t="s">
        <v>48</v>
      </c>
      <c r="F110" t="s">
        <v>35</v>
      </c>
      <c r="G110" t="s">
        <v>36</v>
      </c>
      <c r="H110" t="s">
        <v>69</v>
      </c>
      <c r="I110">
        <v>8</v>
      </c>
      <c r="J110">
        <v>23</v>
      </c>
      <c r="K110">
        <v>10</v>
      </c>
      <c r="L110">
        <v>13</v>
      </c>
      <c r="M110">
        <v>0</v>
      </c>
      <c r="N110">
        <v>23</v>
      </c>
      <c r="O110">
        <v>0</v>
      </c>
      <c r="P110">
        <v>12</v>
      </c>
      <c r="Q110">
        <v>7.8</v>
      </c>
      <c r="R110">
        <v>179.4</v>
      </c>
      <c r="S110">
        <v>17479</v>
      </c>
      <c r="T110">
        <v>15421</v>
      </c>
      <c r="U110">
        <v>606</v>
      </c>
      <c r="V110">
        <v>14815</v>
      </c>
      <c r="W110" s="3">
        <f t="shared" si="7"/>
        <v>82.580824972129321</v>
      </c>
      <c r="X110">
        <v>114.1563708384419</v>
      </c>
      <c r="Y110" s="3">
        <v>114.1563708384419</v>
      </c>
      <c r="Z110" s="4">
        <f t="shared" si="8"/>
        <v>0.7234009312454458</v>
      </c>
      <c r="AA110" s="5">
        <f t="shared" si="9"/>
        <v>153.11453816920033</v>
      </c>
      <c r="AB110" s="5">
        <f t="shared" si="10"/>
        <v>7.8</v>
      </c>
      <c r="AC110" s="5">
        <f t="shared" si="11"/>
        <v>20</v>
      </c>
      <c r="AD110" s="5">
        <f t="shared" si="12"/>
        <v>-3</v>
      </c>
      <c r="AE110" s="5" t="str">
        <f t="shared" si="13"/>
        <v>Surplus</v>
      </c>
    </row>
    <row r="111" spans="1:31" x14ac:dyDescent="0.25">
      <c r="A111" t="s">
        <v>389</v>
      </c>
      <c r="B111" s="2">
        <v>45992</v>
      </c>
      <c r="C111" t="s">
        <v>390</v>
      </c>
      <c r="D111" t="s">
        <v>152</v>
      </c>
      <c r="E111" t="s">
        <v>153</v>
      </c>
      <c r="F111" t="s">
        <v>49</v>
      </c>
      <c r="G111" t="s">
        <v>36</v>
      </c>
      <c r="H111" t="s">
        <v>69</v>
      </c>
      <c r="I111">
        <v>8</v>
      </c>
      <c r="J111">
        <v>22</v>
      </c>
      <c r="K111">
        <v>11</v>
      </c>
      <c r="L111">
        <v>11</v>
      </c>
      <c r="M111">
        <v>2</v>
      </c>
      <c r="N111">
        <v>20</v>
      </c>
      <c r="O111">
        <v>2</v>
      </c>
      <c r="P111">
        <v>11</v>
      </c>
      <c r="Q111">
        <v>7.82</v>
      </c>
      <c r="R111">
        <v>156.4</v>
      </c>
      <c r="S111">
        <v>19904</v>
      </c>
      <c r="T111">
        <v>17795</v>
      </c>
      <c r="U111">
        <v>214</v>
      </c>
      <c r="V111">
        <v>17581</v>
      </c>
      <c r="W111" s="3">
        <f t="shared" si="7"/>
        <v>112.41048593350384</v>
      </c>
      <c r="X111">
        <v>118.4084783141387</v>
      </c>
      <c r="Y111" s="3">
        <v>118.4084783141387</v>
      </c>
      <c r="Z111" s="4">
        <f t="shared" si="8"/>
        <v>0.94934490784754333</v>
      </c>
      <c r="AA111" s="5">
        <f t="shared" si="9"/>
        <v>168.09607118836979</v>
      </c>
      <c r="AB111" s="5">
        <f t="shared" si="10"/>
        <v>7.8166666666666664</v>
      </c>
      <c r="AC111" s="5">
        <f t="shared" si="11"/>
        <v>22</v>
      </c>
      <c r="AD111" s="5">
        <f t="shared" si="12"/>
        <v>2</v>
      </c>
      <c r="AE111" s="5" t="str">
        <f t="shared" si="13"/>
        <v>Shortage</v>
      </c>
    </row>
    <row r="112" spans="1:31" x14ac:dyDescent="0.25">
      <c r="A112" t="s">
        <v>391</v>
      </c>
      <c r="B112" s="2">
        <v>45992</v>
      </c>
      <c r="C112" t="s">
        <v>392</v>
      </c>
      <c r="D112" t="s">
        <v>297</v>
      </c>
      <c r="E112" t="s">
        <v>298</v>
      </c>
      <c r="F112" t="s">
        <v>42</v>
      </c>
      <c r="G112" t="s">
        <v>43</v>
      </c>
      <c r="H112" t="s">
        <v>37</v>
      </c>
      <c r="I112">
        <v>8</v>
      </c>
      <c r="J112">
        <v>19</v>
      </c>
      <c r="K112">
        <v>6</v>
      </c>
      <c r="L112">
        <v>13</v>
      </c>
      <c r="M112">
        <v>1</v>
      </c>
      <c r="N112">
        <v>18</v>
      </c>
      <c r="O112">
        <v>3</v>
      </c>
      <c r="P112">
        <v>40</v>
      </c>
      <c r="Q112">
        <v>7.33</v>
      </c>
      <c r="R112">
        <v>131.94</v>
      </c>
      <c r="S112">
        <v>14028</v>
      </c>
      <c r="T112">
        <v>11709</v>
      </c>
      <c r="U112">
        <v>360</v>
      </c>
      <c r="V112">
        <v>11349</v>
      </c>
      <c r="W112" s="3">
        <f t="shared" si="7"/>
        <v>86.016371077762628</v>
      </c>
      <c r="X112">
        <v>115.1855592022217</v>
      </c>
      <c r="Y112" s="3">
        <v>115.1855592022217</v>
      </c>
      <c r="Z112" s="4">
        <f t="shared" si="8"/>
        <v>0.7467634977293538</v>
      </c>
      <c r="AA112" s="5">
        <f t="shared" si="9"/>
        <v>121.78609972602736</v>
      </c>
      <c r="AB112" s="5">
        <f t="shared" si="10"/>
        <v>7.333333333333333</v>
      </c>
      <c r="AC112" s="5">
        <f t="shared" si="11"/>
        <v>17</v>
      </c>
      <c r="AD112" s="5">
        <f t="shared" si="12"/>
        <v>-1</v>
      </c>
      <c r="AE112" s="5" t="str">
        <f t="shared" si="13"/>
        <v>Surplus</v>
      </c>
    </row>
    <row r="113" spans="1:31" x14ac:dyDescent="0.25">
      <c r="A113" t="s">
        <v>393</v>
      </c>
      <c r="B113" s="2">
        <v>45992</v>
      </c>
      <c r="C113" t="s">
        <v>394</v>
      </c>
      <c r="D113" t="s">
        <v>395</v>
      </c>
      <c r="E113" t="s">
        <v>143</v>
      </c>
      <c r="F113" t="s">
        <v>68</v>
      </c>
      <c r="G113" t="s">
        <v>79</v>
      </c>
      <c r="H113" t="s">
        <v>74</v>
      </c>
      <c r="I113">
        <v>8</v>
      </c>
      <c r="J113">
        <v>25</v>
      </c>
      <c r="K113">
        <v>11</v>
      </c>
      <c r="L113">
        <v>14</v>
      </c>
      <c r="M113">
        <v>0</v>
      </c>
      <c r="N113">
        <v>25</v>
      </c>
      <c r="O113">
        <v>2</v>
      </c>
      <c r="P113">
        <v>27</v>
      </c>
      <c r="Q113">
        <v>7.55</v>
      </c>
      <c r="R113">
        <v>188.75</v>
      </c>
      <c r="S113">
        <v>25778</v>
      </c>
      <c r="T113">
        <v>22332</v>
      </c>
      <c r="U113">
        <v>696</v>
      </c>
      <c r="V113">
        <v>21636</v>
      </c>
      <c r="W113" s="3">
        <f t="shared" si="7"/>
        <v>114.62781456953643</v>
      </c>
      <c r="X113">
        <v>114.6579540175248</v>
      </c>
      <c r="Y113" s="3">
        <v>114.6579540175248</v>
      </c>
      <c r="Z113" s="4">
        <f t="shared" si="8"/>
        <v>0.99973713600380687</v>
      </c>
      <c r="AA113" s="5">
        <f t="shared" si="9"/>
        <v>224.82522229604746</v>
      </c>
      <c r="AB113" s="5">
        <f t="shared" si="10"/>
        <v>7.55</v>
      </c>
      <c r="AC113" s="5">
        <f t="shared" si="11"/>
        <v>30</v>
      </c>
      <c r="AD113" s="5">
        <f t="shared" si="12"/>
        <v>5</v>
      </c>
      <c r="AE113" s="5" t="str">
        <f t="shared" si="13"/>
        <v>Shortage</v>
      </c>
    </row>
    <row r="114" spans="1:31" x14ac:dyDescent="0.25">
      <c r="A114" t="s">
        <v>396</v>
      </c>
      <c r="B114" s="2">
        <v>45993</v>
      </c>
      <c r="C114" t="s">
        <v>397</v>
      </c>
      <c r="D114" t="s">
        <v>398</v>
      </c>
      <c r="E114" t="s">
        <v>399</v>
      </c>
      <c r="F114" t="s">
        <v>35</v>
      </c>
      <c r="G114" t="s">
        <v>79</v>
      </c>
      <c r="H114" t="s">
        <v>37</v>
      </c>
      <c r="I114">
        <v>8</v>
      </c>
      <c r="J114">
        <v>16</v>
      </c>
      <c r="K114">
        <v>8</v>
      </c>
      <c r="L114">
        <v>8</v>
      </c>
      <c r="M114">
        <v>2</v>
      </c>
      <c r="N114">
        <v>14</v>
      </c>
      <c r="O114">
        <v>2</v>
      </c>
      <c r="P114">
        <v>53</v>
      </c>
      <c r="Q114">
        <v>7.12</v>
      </c>
      <c r="R114">
        <v>99.68</v>
      </c>
      <c r="S114">
        <v>11924</v>
      </c>
      <c r="T114">
        <v>10289</v>
      </c>
      <c r="U114">
        <v>218</v>
      </c>
      <c r="V114">
        <v>10071</v>
      </c>
      <c r="W114" s="3">
        <f t="shared" si="7"/>
        <v>101.03330658105938</v>
      </c>
      <c r="X114">
        <v>100.6650131940286</v>
      </c>
      <c r="Y114" s="3">
        <v>100.6650131940286</v>
      </c>
      <c r="Z114" s="4">
        <f t="shared" si="8"/>
        <v>1.0036586036731641</v>
      </c>
      <c r="AA114" s="5">
        <f t="shared" si="9"/>
        <v>118.45227673111084</v>
      </c>
      <c r="AB114" s="5">
        <f t="shared" si="10"/>
        <v>7.1166666666666671</v>
      </c>
      <c r="AC114" s="5">
        <f t="shared" si="11"/>
        <v>17</v>
      </c>
      <c r="AD114" s="5">
        <f t="shared" si="12"/>
        <v>3</v>
      </c>
      <c r="AE114" s="5" t="str">
        <f t="shared" si="13"/>
        <v>Shortage</v>
      </c>
    </row>
    <row r="115" spans="1:31" x14ac:dyDescent="0.25">
      <c r="A115" t="s">
        <v>400</v>
      </c>
      <c r="B115" s="2">
        <v>45994</v>
      </c>
      <c r="C115" t="s">
        <v>401</v>
      </c>
      <c r="D115" t="s">
        <v>402</v>
      </c>
      <c r="E115" t="s">
        <v>403</v>
      </c>
      <c r="F115" t="s">
        <v>42</v>
      </c>
      <c r="G115" t="s">
        <v>36</v>
      </c>
      <c r="H115" t="s">
        <v>69</v>
      </c>
      <c r="I115">
        <v>9</v>
      </c>
      <c r="J115">
        <v>20</v>
      </c>
      <c r="K115">
        <v>7</v>
      </c>
      <c r="L115">
        <v>13</v>
      </c>
      <c r="M115">
        <v>0</v>
      </c>
      <c r="N115">
        <v>20</v>
      </c>
      <c r="O115">
        <v>3</v>
      </c>
      <c r="P115">
        <v>27</v>
      </c>
      <c r="Q115">
        <v>8.5500000000000007</v>
      </c>
      <c r="R115">
        <v>171</v>
      </c>
      <c r="S115">
        <v>19807</v>
      </c>
      <c r="T115">
        <v>16700</v>
      </c>
      <c r="U115">
        <v>273</v>
      </c>
      <c r="V115">
        <v>16427</v>
      </c>
      <c r="W115" s="3">
        <f t="shared" si="7"/>
        <v>96.064327485380119</v>
      </c>
      <c r="X115">
        <v>112.98347693798689</v>
      </c>
      <c r="Y115" s="3">
        <v>112.98347693798689</v>
      </c>
      <c r="Z115" s="4">
        <f t="shared" si="8"/>
        <v>0.85025111714438417</v>
      </c>
      <c r="AA115" s="5">
        <f t="shared" si="9"/>
        <v>175.30881980974479</v>
      </c>
      <c r="AB115" s="5">
        <f t="shared" si="10"/>
        <v>8.5500000000000007</v>
      </c>
      <c r="AC115" s="5">
        <f t="shared" si="11"/>
        <v>21</v>
      </c>
      <c r="AD115" s="5">
        <f t="shared" si="12"/>
        <v>1</v>
      </c>
      <c r="AE115" s="5" t="str">
        <f t="shared" si="13"/>
        <v>Shortage</v>
      </c>
    </row>
    <row r="116" spans="1:31" x14ac:dyDescent="0.25">
      <c r="A116" t="s">
        <v>404</v>
      </c>
      <c r="B116" s="2">
        <v>45994</v>
      </c>
      <c r="C116" t="s">
        <v>405</v>
      </c>
      <c r="D116" t="s">
        <v>182</v>
      </c>
      <c r="E116" t="s">
        <v>183</v>
      </c>
      <c r="F116" t="s">
        <v>55</v>
      </c>
      <c r="G116" t="s">
        <v>36</v>
      </c>
      <c r="H116" t="s">
        <v>88</v>
      </c>
      <c r="I116">
        <v>8</v>
      </c>
      <c r="J116">
        <v>16</v>
      </c>
      <c r="K116">
        <v>6</v>
      </c>
      <c r="L116">
        <v>10</v>
      </c>
      <c r="M116">
        <v>0</v>
      </c>
      <c r="N116">
        <v>16</v>
      </c>
      <c r="O116">
        <v>2</v>
      </c>
      <c r="P116">
        <v>11</v>
      </c>
      <c r="Q116">
        <v>7.82</v>
      </c>
      <c r="R116">
        <v>125.12</v>
      </c>
      <c r="S116">
        <v>13155</v>
      </c>
      <c r="T116">
        <v>11999</v>
      </c>
      <c r="U116">
        <v>340</v>
      </c>
      <c r="V116">
        <v>11659</v>
      </c>
      <c r="W116" s="3">
        <f t="shared" si="7"/>
        <v>93.182544757033241</v>
      </c>
      <c r="X116">
        <v>108.32817332835501</v>
      </c>
      <c r="Y116" s="3">
        <v>108.32817332835501</v>
      </c>
      <c r="Z116" s="4">
        <f t="shared" si="8"/>
        <v>0.86018753842166573</v>
      </c>
      <c r="AA116" s="5">
        <f t="shared" si="9"/>
        <v>121.43655335279863</v>
      </c>
      <c r="AB116" s="5">
        <f t="shared" si="10"/>
        <v>7.8166666666666664</v>
      </c>
      <c r="AC116" s="5">
        <f t="shared" si="11"/>
        <v>16</v>
      </c>
      <c r="AD116" s="5">
        <f t="shared" si="12"/>
        <v>0</v>
      </c>
      <c r="AE116" s="5" t="str">
        <f t="shared" si="13"/>
        <v>Balanced</v>
      </c>
    </row>
    <row r="117" spans="1:31" x14ac:dyDescent="0.25">
      <c r="A117" t="s">
        <v>406</v>
      </c>
      <c r="B117" s="2">
        <v>45996</v>
      </c>
      <c r="C117" t="s">
        <v>407</v>
      </c>
      <c r="D117" t="s">
        <v>408</v>
      </c>
      <c r="E117" t="s">
        <v>409</v>
      </c>
      <c r="F117" t="s">
        <v>68</v>
      </c>
      <c r="G117" t="s">
        <v>36</v>
      </c>
      <c r="H117" t="s">
        <v>88</v>
      </c>
      <c r="I117">
        <v>8</v>
      </c>
      <c r="J117">
        <v>28</v>
      </c>
      <c r="K117">
        <v>12</v>
      </c>
      <c r="L117">
        <v>16</v>
      </c>
      <c r="M117">
        <v>1</v>
      </c>
      <c r="N117">
        <v>27</v>
      </c>
      <c r="O117">
        <v>0</v>
      </c>
      <c r="P117">
        <v>13</v>
      </c>
      <c r="Q117">
        <v>7.78</v>
      </c>
      <c r="R117">
        <v>210.06</v>
      </c>
      <c r="S117">
        <v>27116</v>
      </c>
      <c r="T117">
        <v>26084</v>
      </c>
      <c r="U117">
        <v>633</v>
      </c>
      <c r="V117">
        <v>25451</v>
      </c>
      <c r="W117" s="3">
        <f t="shared" si="7"/>
        <v>121.16062077501667</v>
      </c>
      <c r="X117">
        <v>120.8174989437542</v>
      </c>
      <c r="Y117" s="3">
        <v>120.8174989437542</v>
      </c>
      <c r="Z117" s="4">
        <f t="shared" si="8"/>
        <v>1.002840001111281</v>
      </c>
      <c r="AA117" s="5">
        <f t="shared" si="9"/>
        <v>224.4376869001706</v>
      </c>
      <c r="AB117" s="5">
        <f t="shared" si="10"/>
        <v>7.7833333333333332</v>
      </c>
      <c r="AC117" s="5">
        <f t="shared" si="11"/>
        <v>29</v>
      </c>
      <c r="AD117" s="5">
        <f t="shared" si="12"/>
        <v>2</v>
      </c>
      <c r="AE117" s="5" t="str">
        <f t="shared" si="13"/>
        <v>Shortage</v>
      </c>
    </row>
    <row r="118" spans="1:31" x14ac:dyDescent="0.25">
      <c r="A118" t="s">
        <v>410</v>
      </c>
      <c r="B118" s="2">
        <v>45997</v>
      </c>
      <c r="C118" t="s">
        <v>411</v>
      </c>
      <c r="D118" t="s">
        <v>66</v>
      </c>
      <c r="E118" t="s">
        <v>67</v>
      </c>
      <c r="F118" t="s">
        <v>35</v>
      </c>
      <c r="G118" t="s">
        <v>43</v>
      </c>
      <c r="H118" t="s">
        <v>44</v>
      </c>
      <c r="I118">
        <v>8</v>
      </c>
      <c r="J118">
        <v>20</v>
      </c>
      <c r="K118">
        <v>7</v>
      </c>
      <c r="L118">
        <v>13</v>
      </c>
      <c r="M118">
        <v>1</v>
      </c>
      <c r="N118">
        <v>19</v>
      </c>
      <c r="O118">
        <v>1</v>
      </c>
      <c r="P118">
        <v>22</v>
      </c>
      <c r="Q118">
        <v>7.63</v>
      </c>
      <c r="R118">
        <v>144.97</v>
      </c>
      <c r="S118">
        <v>15718</v>
      </c>
      <c r="T118">
        <v>12274</v>
      </c>
      <c r="U118">
        <v>355</v>
      </c>
      <c r="V118">
        <v>11919</v>
      </c>
      <c r="W118" s="3">
        <f t="shared" si="7"/>
        <v>82.217010415948124</v>
      </c>
      <c r="X118">
        <v>118.01656521145939</v>
      </c>
      <c r="Y118" s="3">
        <v>118.01656521145939</v>
      </c>
      <c r="Z118" s="4">
        <f t="shared" si="8"/>
        <v>0.69665652672261358</v>
      </c>
      <c r="AA118" s="5">
        <f t="shared" si="9"/>
        <v>133.18469294405278</v>
      </c>
      <c r="AB118" s="5">
        <f t="shared" si="10"/>
        <v>7.6333333333333337</v>
      </c>
      <c r="AC118" s="5">
        <f t="shared" si="11"/>
        <v>18</v>
      </c>
      <c r="AD118" s="5">
        <f t="shared" si="12"/>
        <v>-1</v>
      </c>
      <c r="AE118" s="5" t="str">
        <f t="shared" si="13"/>
        <v>Surplus</v>
      </c>
    </row>
    <row r="119" spans="1:31" x14ac:dyDescent="0.25">
      <c r="A119" t="s">
        <v>412</v>
      </c>
      <c r="B119" s="2">
        <v>45997</v>
      </c>
      <c r="C119" t="s">
        <v>413</v>
      </c>
      <c r="D119" t="s">
        <v>198</v>
      </c>
      <c r="E119" t="s">
        <v>199</v>
      </c>
      <c r="F119" t="s">
        <v>55</v>
      </c>
      <c r="G119" t="s">
        <v>79</v>
      </c>
      <c r="H119" t="s">
        <v>44</v>
      </c>
      <c r="I119">
        <v>8</v>
      </c>
      <c r="J119">
        <v>11</v>
      </c>
      <c r="K119">
        <v>5</v>
      </c>
      <c r="L119">
        <v>6</v>
      </c>
      <c r="M119">
        <v>2</v>
      </c>
      <c r="N119">
        <v>9</v>
      </c>
      <c r="O119">
        <v>0</v>
      </c>
      <c r="P119">
        <v>59</v>
      </c>
      <c r="Q119">
        <v>7.02</v>
      </c>
      <c r="R119">
        <v>63.18</v>
      </c>
      <c r="S119">
        <v>5407</v>
      </c>
      <c r="T119">
        <v>4101</v>
      </c>
      <c r="U119">
        <v>108</v>
      </c>
      <c r="V119">
        <v>3993</v>
      </c>
      <c r="W119" s="3">
        <f t="shared" si="7"/>
        <v>63.200379867046536</v>
      </c>
      <c r="X119">
        <v>99.520305551967823</v>
      </c>
      <c r="Y119" s="3">
        <v>99.520305551967823</v>
      </c>
      <c r="Z119" s="4">
        <f t="shared" si="8"/>
        <v>0.63505009873632634</v>
      </c>
      <c r="AA119" s="5">
        <f t="shared" si="9"/>
        <v>54.330620972385944</v>
      </c>
      <c r="AB119" s="5">
        <f t="shared" si="10"/>
        <v>7.0166666666666666</v>
      </c>
      <c r="AC119" s="5">
        <f t="shared" si="11"/>
        <v>8</v>
      </c>
      <c r="AD119" s="5">
        <f t="shared" si="12"/>
        <v>-1</v>
      </c>
      <c r="AE119" s="5" t="str">
        <f t="shared" si="13"/>
        <v>Surplus</v>
      </c>
    </row>
    <row r="120" spans="1:31" x14ac:dyDescent="0.25">
      <c r="A120" t="s">
        <v>414</v>
      </c>
      <c r="B120" s="2">
        <v>45998</v>
      </c>
      <c r="C120" t="s">
        <v>415</v>
      </c>
      <c r="D120" t="s">
        <v>130</v>
      </c>
      <c r="E120" t="s">
        <v>131</v>
      </c>
      <c r="F120" t="s">
        <v>55</v>
      </c>
      <c r="G120" t="s">
        <v>43</v>
      </c>
      <c r="H120" t="s">
        <v>50</v>
      </c>
      <c r="I120">
        <v>8</v>
      </c>
      <c r="J120">
        <v>20</v>
      </c>
      <c r="K120">
        <v>8</v>
      </c>
      <c r="L120">
        <v>12</v>
      </c>
      <c r="M120">
        <v>1</v>
      </c>
      <c r="N120">
        <v>19</v>
      </c>
      <c r="O120">
        <v>0</v>
      </c>
      <c r="P120">
        <v>40</v>
      </c>
      <c r="Q120">
        <v>7.33</v>
      </c>
      <c r="R120">
        <v>139.27000000000001</v>
      </c>
      <c r="S120">
        <v>17613</v>
      </c>
      <c r="T120">
        <v>15741</v>
      </c>
      <c r="U120">
        <v>250</v>
      </c>
      <c r="V120">
        <v>15491</v>
      </c>
      <c r="W120" s="3">
        <f t="shared" si="7"/>
        <v>111.22998492137573</v>
      </c>
      <c r="X120">
        <v>109.38855294136761</v>
      </c>
      <c r="Y120" s="3">
        <v>109.38855294136761</v>
      </c>
      <c r="Z120" s="4">
        <f t="shared" si="8"/>
        <v>1.0168338636035814</v>
      </c>
      <c r="AA120" s="5">
        <f t="shared" si="9"/>
        <v>161.01319129288225</v>
      </c>
      <c r="AB120" s="5">
        <f t="shared" si="10"/>
        <v>7.333333333333333</v>
      </c>
      <c r="AC120" s="5">
        <f t="shared" si="11"/>
        <v>22</v>
      </c>
      <c r="AD120" s="5">
        <f t="shared" si="12"/>
        <v>3</v>
      </c>
      <c r="AE120" s="5" t="str">
        <f t="shared" si="13"/>
        <v>Shortage</v>
      </c>
    </row>
    <row r="121" spans="1:31" x14ac:dyDescent="0.25">
      <c r="A121" t="s">
        <v>416</v>
      </c>
      <c r="B121" s="2">
        <v>45999</v>
      </c>
      <c r="C121" t="s">
        <v>417</v>
      </c>
      <c r="D121" t="s">
        <v>72</v>
      </c>
      <c r="E121" t="s">
        <v>73</v>
      </c>
      <c r="F121" t="s">
        <v>42</v>
      </c>
      <c r="G121" t="s">
        <v>43</v>
      </c>
      <c r="H121" t="s">
        <v>74</v>
      </c>
      <c r="I121">
        <v>8</v>
      </c>
      <c r="J121">
        <v>20</v>
      </c>
      <c r="K121">
        <v>8</v>
      </c>
      <c r="L121">
        <v>12</v>
      </c>
      <c r="M121">
        <v>1</v>
      </c>
      <c r="N121">
        <v>19</v>
      </c>
      <c r="O121">
        <v>0</v>
      </c>
      <c r="P121">
        <v>53</v>
      </c>
      <c r="Q121">
        <v>7.12</v>
      </c>
      <c r="R121">
        <v>135.28</v>
      </c>
      <c r="S121">
        <v>16614</v>
      </c>
      <c r="T121">
        <v>13097</v>
      </c>
      <c r="U121">
        <v>358</v>
      </c>
      <c r="V121">
        <v>12739</v>
      </c>
      <c r="W121" s="3">
        <f t="shared" si="7"/>
        <v>94.167652276759313</v>
      </c>
      <c r="X121">
        <v>115.1855592022217</v>
      </c>
      <c r="Y121" s="3">
        <v>115.1855592022217</v>
      </c>
      <c r="Z121" s="4">
        <f t="shared" si="8"/>
        <v>0.81753001790299951</v>
      </c>
      <c r="AA121" s="5">
        <f t="shared" si="9"/>
        <v>144.23683068493148</v>
      </c>
      <c r="AB121" s="5">
        <f t="shared" si="10"/>
        <v>7.1166666666666671</v>
      </c>
      <c r="AC121" s="5">
        <f t="shared" si="11"/>
        <v>21</v>
      </c>
      <c r="AD121" s="5">
        <f t="shared" si="12"/>
        <v>2</v>
      </c>
      <c r="AE121" s="5" t="str">
        <f t="shared" si="13"/>
        <v>Shortage</v>
      </c>
    </row>
    <row r="122" spans="1:31" x14ac:dyDescent="0.25">
      <c r="A122" t="s">
        <v>418</v>
      </c>
      <c r="B122" s="2">
        <v>45999</v>
      </c>
      <c r="C122" t="s">
        <v>419</v>
      </c>
      <c r="D122" t="s">
        <v>123</v>
      </c>
      <c r="E122" t="s">
        <v>116</v>
      </c>
      <c r="F122" t="s">
        <v>55</v>
      </c>
      <c r="G122" t="s">
        <v>43</v>
      </c>
      <c r="H122" t="s">
        <v>88</v>
      </c>
      <c r="I122">
        <v>9</v>
      </c>
      <c r="J122">
        <v>18</v>
      </c>
      <c r="K122">
        <v>6</v>
      </c>
      <c r="L122">
        <v>12</v>
      </c>
      <c r="M122">
        <v>0</v>
      </c>
      <c r="N122">
        <v>18</v>
      </c>
      <c r="O122">
        <v>0</v>
      </c>
      <c r="P122">
        <v>16</v>
      </c>
      <c r="Q122">
        <v>8.73</v>
      </c>
      <c r="R122">
        <v>157.13999999999999</v>
      </c>
      <c r="S122">
        <v>18510</v>
      </c>
      <c r="T122">
        <v>15830</v>
      </c>
      <c r="U122">
        <v>97</v>
      </c>
      <c r="V122">
        <v>15733</v>
      </c>
      <c r="W122" s="3">
        <f t="shared" si="7"/>
        <v>100.12091128929617</v>
      </c>
      <c r="X122">
        <v>109.38855294136761</v>
      </c>
      <c r="Y122" s="3">
        <v>109.38855294136761</v>
      </c>
      <c r="Z122" s="4">
        <f t="shared" si="8"/>
        <v>0.91527777447573611</v>
      </c>
      <c r="AA122" s="5">
        <f t="shared" si="9"/>
        <v>169.21331805094252</v>
      </c>
      <c r="AB122" s="5">
        <f t="shared" si="10"/>
        <v>8.7333333333333325</v>
      </c>
      <c r="AC122" s="5">
        <f t="shared" si="11"/>
        <v>20</v>
      </c>
      <c r="AD122" s="5">
        <f t="shared" si="12"/>
        <v>2</v>
      </c>
      <c r="AE122" s="5" t="str">
        <f t="shared" si="13"/>
        <v>Shortage</v>
      </c>
    </row>
    <row r="123" spans="1:31" x14ac:dyDescent="0.25">
      <c r="A123" t="s">
        <v>420</v>
      </c>
      <c r="B123" s="2">
        <v>46000</v>
      </c>
      <c r="C123" t="s">
        <v>421</v>
      </c>
      <c r="D123" t="s">
        <v>193</v>
      </c>
      <c r="E123" t="s">
        <v>135</v>
      </c>
      <c r="F123" t="s">
        <v>42</v>
      </c>
      <c r="G123" t="s">
        <v>43</v>
      </c>
      <c r="H123" t="s">
        <v>74</v>
      </c>
      <c r="I123">
        <v>8</v>
      </c>
      <c r="J123">
        <v>17</v>
      </c>
      <c r="K123">
        <v>7</v>
      </c>
      <c r="L123">
        <v>10</v>
      </c>
      <c r="M123">
        <v>0</v>
      </c>
      <c r="N123">
        <v>17</v>
      </c>
      <c r="O123">
        <v>0</v>
      </c>
      <c r="P123">
        <v>16</v>
      </c>
      <c r="Q123">
        <v>7.73</v>
      </c>
      <c r="R123">
        <v>131.41</v>
      </c>
      <c r="S123">
        <v>15855</v>
      </c>
      <c r="T123">
        <v>13968</v>
      </c>
      <c r="U123">
        <v>231</v>
      </c>
      <c r="V123">
        <v>13737</v>
      </c>
      <c r="W123" s="3">
        <f t="shared" si="7"/>
        <v>104.53542348375314</v>
      </c>
      <c r="X123">
        <v>115.1855592022217</v>
      </c>
      <c r="Y123" s="3">
        <v>115.1855592022217</v>
      </c>
      <c r="Z123" s="4">
        <f t="shared" si="8"/>
        <v>0.90753931489127904</v>
      </c>
      <c r="AA123" s="5">
        <f t="shared" si="9"/>
        <v>137.6474630136986</v>
      </c>
      <c r="AB123" s="5">
        <f t="shared" si="10"/>
        <v>7.7333333333333334</v>
      </c>
      <c r="AC123" s="5">
        <f t="shared" si="11"/>
        <v>18</v>
      </c>
      <c r="AD123" s="5">
        <f t="shared" si="12"/>
        <v>1</v>
      </c>
      <c r="AE123" s="5" t="str">
        <f t="shared" si="13"/>
        <v>Shortage</v>
      </c>
    </row>
    <row r="124" spans="1:31" x14ac:dyDescent="0.25">
      <c r="A124" t="s">
        <v>422</v>
      </c>
      <c r="B124" s="2">
        <v>46000</v>
      </c>
      <c r="C124" t="s">
        <v>423</v>
      </c>
      <c r="D124" t="s">
        <v>320</v>
      </c>
      <c r="E124" t="s">
        <v>321</v>
      </c>
      <c r="F124" t="s">
        <v>49</v>
      </c>
      <c r="G124" t="s">
        <v>43</v>
      </c>
      <c r="H124" t="s">
        <v>37</v>
      </c>
      <c r="I124">
        <v>8</v>
      </c>
      <c r="J124">
        <v>24</v>
      </c>
      <c r="K124">
        <v>12</v>
      </c>
      <c r="L124">
        <v>12</v>
      </c>
      <c r="M124">
        <v>0</v>
      </c>
      <c r="N124">
        <v>24</v>
      </c>
      <c r="O124">
        <v>3</v>
      </c>
      <c r="P124">
        <v>28</v>
      </c>
      <c r="Q124">
        <v>7.53</v>
      </c>
      <c r="R124">
        <v>180.72</v>
      </c>
      <c r="S124">
        <v>24934</v>
      </c>
      <c r="T124">
        <v>21685</v>
      </c>
      <c r="U124">
        <v>323</v>
      </c>
      <c r="V124">
        <v>21362</v>
      </c>
      <c r="W124" s="3">
        <f t="shared" si="7"/>
        <v>118.2049579459938</v>
      </c>
      <c r="X124">
        <v>124.78240035826239</v>
      </c>
      <c r="Y124" s="3">
        <v>124.78240035826239</v>
      </c>
      <c r="Z124" s="4">
        <f t="shared" si="8"/>
        <v>0.94728870102366902</v>
      </c>
      <c r="AA124" s="5">
        <f t="shared" si="9"/>
        <v>199.81984581489107</v>
      </c>
      <c r="AB124" s="5">
        <f t="shared" si="10"/>
        <v>7.5333333333333332</v>
      </c>
      <c r="AC124" s="5">
        <f t="shared" si="11"/>
        <v>27</v>
      </c>
      <c r="AD124" s="5">
        <f t="shared" si="12"/>
        <v>3</v>
      </c>
      <c r="AE124" s="5" t="str">
        <f t="shared" si="13"/>
        <v>Shortage</v>
      </c>
    </row>
    <row r="125" spans="1:31" x14ac:dyDescent="0.25">
      <c r="A125" t="s">
        <v>424</v>
      </c>
      <c r="B125" s="2">
        <v>46000</v>
      </c>
      <c r="C125" t="s">
        <v>425</v>
      </c>
      <c r="D125" t="s">
        <v>204</v>
      </c>
      <c r="E125" t="s">
        <v>205</v>
      </c>
      <c r="F125" t="s">
        <v>68</v>
      </c>
      <c r="G125" t="s">
        <v>43</v>
      </c>
      <c r="H125" t="s">
        <v>88</v>
      </c>
      <c r="I125">
        <v>8</v>
      </c>
      <c r="J125">
        <v>26</v>
      </c>
      <c r="K125">
        <v>9</v>
      </c>
      <c r="L125">
        <v>17</v>
      </c>
      <c r="M125">
        <v>2</v>
      </c>
      <c r="N125">
        <v>24</v>
      </c>
      <c r="O125">
        <v>0</v>
      </c>
      <c r="P125">
        <v>18</v>
      </c>
      <c r="Q125">
        <v>7.7</v>
      </c>
      <c r="R125">
        <v>184.8</v>
      </c>
      <c r="S125">
        <v>28088</v>
      </c>
      <c r="T125">
        <v>22204</v>
      </c>
      <c r="U125">
        <v>508</v>
      </c>
      <c r="V125">
        <v>21696</v>
      </c>
      <c r="W125" s="3">
        <f t="shared" si="7"/>
        <v>117.40259740259739</v>
      </c>
      <c r="X125">
        <v>128.22014138735929</v>
      </c>
      <c r="Y125" s="3">
        <v>128.22014138735929</v>
      </c>
      <c r="Z125" s="4">
        <f t="shared" si="8"/>
        <v>0.91563303652831285</v>
      </c>
      <c r="AA125" s="5">
        <f t="shared" si="9"/>
        <v>219.06074736842461</v>
      </c>
      <c r="AB125" s="5">
        <f t="shared" si="10"/>
        <v>7.7</v>
      </c>
      <c r="AC125" s="5">
        <f t="shared" si="11"/>
        <v>29</v>
      </c>
      <c r="AD125" s="5">
        <f t="shared" si="12"/>
        <v>5</v>
      </c>
      <c r="AE125" s="5" t="str">
        <f t="shared" si="13"/>
        <v>Shortage</v>
      </c>
    </row>
    <row r="126" spans="1:31" x14ac:dyDescent="0.25">
      <c r="A126" t="s">
        <v>426</v>
      </c>
      <c r="B126" s="2">
        <v>46001</v>
      </c>
      <c r="C126" t="s">
        <v>427</v>
      </c>
      <c r="D126" t="s">
        <v>146</v>
      </c>
      <c r="E126" t="s">
        <v>147</v>
      </c>
      <c r="F126" t="s">
        <v>49</v>
      </c>
      <c r="G126" t="s">
        <v>43</v>
      </c>
      <c r="H126" t="s">
        <v>37</v>
      </c>
      <c r="I126">
        <v>9</v>
      </c>
      <c r="J126">
        <v>25</v>
      </c>
      <c r="K126">
        <v>11</v>
      </c>
      <c r="L126">
        <v>14</v>
      </c>
      <c r="M126">
        <v>0</v>
      </c>
      <c r="N126">
        <v>25</v>
      </c>
      <c r="O126">
        <v>3</v>
      </c>
      <c r="P126">
        <v>37</v>
      </c>
      <c r="Q126">
        <v>8.3800000000000008</v>
      </c>
      <c r="R126">
        <v>209.5</v>
      </c>
      <c r="S126">
        <v>31949</v>
      </c>
      <c r="T126">
        <v>28418</v>
      </c>
      <c r="U126">
        <v>950</v>
      </c>
      <c r="V126">
        <v>27468</v>
      </c>
      <c r="W126" s="3">
        <f t="shared" si="7"/>
        <v>131.11217183770884</v>
      </c>
      <c r="X126">
        <v>124.78240035826239</v>
      </c>
      <c r="Y126" s="3">
        <v>124.78240035826239</v>
      </c>
      <c r="Z126" s="4">
        <f t="shared" si="8"/>
        <v>1.0507264763401976</v>
      </c>
      <c r="AA126" s="5">
        <f t="shared" si="9"/>
        <v>256.03770971123583</v>
      </c>
      <c r="AB126" s="5">
        <f t="shared" si="10"/>
        <v>8.3833333333333329</v>
      </c>
      <c r="AC126" s="5">
        <f t="shared" si="11"/>
        <v>31</v>
      </c>
      <c r="AD126" s="5">
        <f t="shared" si="12"/>
        <v>6</v>
      </c>
      <c r="AE126" s="5" t="str">
        <f t="shared" si="13"/>
        <v>Shortage</v>
      </c>
    </row>
    <row r="127" spans="1:31" x14ac:dyDescent="0.25">
      <c r="A127" t="s">
        <v>428</v>
      </c>
      <c r="B127" s="2">
        <v>46002</v>
      </c>
      <c r="C127" t="s">
        <v>429</v>
      </c>
      <c r="D127" t="s">
        <v>138</v>
      </c>
      <c r="E127" t="s">
        <v>139</v>
      </c>
      <c r="F127" t="s">
        <v>35</v>
      </c>
      <c r="G127" t="s">
        <v>36</v>
      </c>
      <c r="H127" t="s">
        <v>44</v>
      </c>
      <c r="I127">
        <v>9</v>
      </c>
      <c r="J127">
        <v>19</v>
      </c>
      <c r="K127">
        <v>8</v>
      </c>
      <c r="L127">
        <v>11</v>
      </c>
      <c r="M127">
        <v>0</v>
      </c>
      <c r="N127">
        <v>19</v>
      </c>
      <c r="O127">
        <v>2</v>
      </c>
      <c r="P127">
        <v>38</v>
      </c>
      <c r="Q127">
        <v>8.3699999999999992</v>
      </c>
      <c r="R127">
        <v>159.03</v>
      </c>
      <c r="S127">
        <v>22922</v>
      </c>
      <c r="T127">
        <v>14644</v>
      </c>
      <c r="U127">
        <v>585</v>
      </c>
      <c r="V127">
        <v>14059</v>
      </c>
      <c r="W127" s="3">
        <f t="shared" si="7"/>
        <v>88.404703515060049</v>
      </c>
      <c r="X127">
        <v>114.1563708384419</v>
      </c>
      <c r="Y127" s="3">
        <v>114.1563708384419</v>
      </c>
      <c r="Z127" s="4">
        <f t="shared" si="8"/>
        <v>0.77441760688217287</v>
      </c>
      <c r="AA127" s="5">
        <f t="shared" si="9"/>
        <v>200.79475049570399</v>
      </c>
      <c r="AB127" s="5">
        <f t="shared" si="10"/>
        <v>8.3666666666666671</v>
      </c>
      <c r="AC127" s="5">
        <f t="shared" si="11"/>
        <v>24</v>
      </c>
      <c r="AD127" s="5">
        <f t="shared" si="12"/>
        <v>5</v>
      </c>
      <c r="AE127" s="5" t="str">
        <f t="shared" si="13"/>
        <v>Shortage</v>
      </c>
    </row>
    <row r="128" spans="1:31" x14ac:dyDescent="0.25">
      <c r="A128" t="s">
        <v>430</v>
      </c>
      <c r="B128" s="2">
        <v>46002</v>
      </c>
      <c r="C128" t="s">
        <v>431</v>
      </c>
      <c r="D128" t="s">
        <v>363</v>
      </c>
      <c r="E128" t="s">
        <v>364</v>
      </c>
      <c r="F128" t="s">
        <v>42</v>
      </c>
      <c r="G128" t="s">
        <v>43</v>
      </c>
      <c r="H128" t="s">
        <v>88</v>
      </c>
      <c r="I128">
        <v>10</v>
      </c>
      <c r="J128">
        <v>20</v>
      </c>
      <c r="K128">
        <v>9</v>
      </c>
      <c r="L128">
        <v>11</v>
      </c>
      <c r="M128">
        <v>0</v>
      </c>
      <c r="N128">
        <v>20</v>
      </c>
      <c r="O128">
        <v>0</v>
      </c>
      <c r="P128">
        <v>50</v>
      </c>
      <c r="Q128">
        <v>9.17</v>
      </c>
      <c r="R128">
        <v>183.4</v>
      </c>
      <c r="S128">
        <v>18183</v>
      </c>
      <c r="T128">
        <v>14019</v>
      </c>
      <c r="U128">
        <v>368</v>
      </c>
      <c r="V128">
        <v>13651</v>
      </c>
      <c r="W128" s="3">
        <f t="shared" si="7"/>
        <v>74.432933478735009</v>
      </c>
      <c r="X128">
        <v>115.1855592022217</v>
      </c>
      <c r="Y128" s="3">
        <v>115.1855592022217</v>
      </c>
      <c r="Z128" s="4">
        <f t="shared" si="8"/>
        <v>0.64620021810250805</v>
      </c>
      <c r="AA128" s="5">
        <f t="shared" si="9"/>
        <v>157.85832986301364</v>
      </c>
      <c r="AB128" s="5">
        <f t="shared" si="10"/>
        <v>9.1666666666666661</v>
      </c>
      <c r="AC128" s="5">
        <f t="shared" si="11"/>
        <v>18</v>
      </c>
      <c r="AD128" s="5">
        <f t="shared" si="12"/>
        <v>-2</v>
      </c>
      <c r="AE128" s="5" t="str">
        <f t="shared" si="13"/>
        <v>Surplus</v>
      </c>
    </row>
    <row r="129" spans="1:31" x14ac:dyDescent="0.25">
      <c r="A129" t="s">
        <v>432</v>
      </c>
      <c r="B129" s="2">
        <v>46003</v>
      </c>
      <c r="C129" t="s">
        <v>433</v>
      </c>
      <c r="D129" t="s">
        <v>178</v>
      </c>
      <c r="E129" t="s">
        <v>179</v>
      </c>
      <c r="F129" t="s">
        <v>49</v>
      </c>
      <c r="G129" t="s">
        <v>43</v>
      </c>
      <c r="H129" t="s">
        <v>37</v>
      </c>
      <c r="I129">
        <v>8</v>
      </c>
      <c r="J129">
        <v>21</v>
      </c>
      <c r="K129">
        <v>8</v>
      </c>
      <c r="L129">
        <v>13</v>
      </c>
      <c r="M129">
        <v>0</v>
      </c>
      <c r="N129">
        <v>21</v>
      </c>
      <c r="O129">
        <v>2</v>
      </c>
      <c r="P129">
        <v>27</v>
      </c>
      <c r="Q129">
        <v>7.55</v>
      </c>
      <c r="R129">
        <v>158.55000000000001</v>
      </c>
      <c r="S129">
        <v>21573</v>
      </c>
      <c r="T129">
        <v>21163</v>
      </c>
      <c r="U129">
        <v>140</v>
      </c>
      <c r="V129">
        <v>21023</v>
      </c>
      <c r="W129" s="3">
        <f t="shared" si="7"/>
        <v>132.59539577420372</v>
      </c>
      <c r="X129">
        <v>124.78240035826239</v>
      </c>
      <c r="Y129" s="3">
        <v>124.78240035826239</v>
      </c>
      <c r="Z129" s="4">
        <f t="shared" si="8"/>
        <v>1.0626129597884755</v>
      </c>
      <c r="AA129" s="5">
        <f t="shared" si="9"/>
        <v>172.8849576387521</v>
      </c>
      <c r="AB129" s="5">
        <f t="shared" si="10"/>
        <v>7.55</v>
      </c>
      <c r="AC129" s="5">
        <f t="shared" si="11"/>
        <v>23</v>
      </c>
      <c r="AD129" s="5">
        <f t="shared" si="12"/>
        <v>2</v>
      </c>
      <c r="AE129" s="5" t="str">
        <f t="shared" si="13"/>
        <v>Shortage</v>
      </c>
    </row>
    <row r="130" spans="1:31" x14ac:dyDescent="0.25">
      <c r="A130" t="s">
        <v>434</v>
      </c>
      <c r="B130" s="2">
        <v>46004</v>
      </c>
      <c r="C130" t="s">
        <v>435</v>
      </c>
      <c r="D130" t="s">
        <v>261</v>
      </c>
      <c r="E130" t="s">
        <v>262</v>
      </c>
      <c r="F130" t="s">
        <v>49</v>
      </c>
      <c r="G130" t="s">
        <v>36</v>
      </c>
      <c r="H130" t="s">
        <v>50</v>
      </c>
      <c r="I130">
        <v>10</v>
      </c>
      <c r="J130">
        <v>20</v>
      </c>
      <c r="K130">
        <v>7</v>
      </c>
      <c r="L130">
        <v>13</v>
      </c>
      <c r="M130">
        <v>1</v>
      </c>
      <c r="N130">
        <v>19</v>
      </c>
      <c r="O130">
        <v>0</v>
      </c>
      <c r="P130">
        <v>41</v>
      </c>
      <c r="Q130">
        <v>9.32</v>
      </c>
      <c r="R130">
        <v>177.08</v>
      </c>
      <c r="S130">
        <v>23651</v>
      </c>
      <c r="T130">
        <v>20990</v>
      </c>
      <c r="U130">
        <v>628</v>
      </c>
      <c r="V130">
        <v>20362</v>
      </c>
      <c r="W130" s="3">
        <f t="shared" si="7"/>
        <v>114.98757623672915</v>
      </c>
      <c r="X130">
        <v>118.4084783141387</v>
      </c>
      <c r="Y130" s="3">
        <v>118.4084783141387</v>
      </c>
      <c r="Z130" s="4">
        <f t="shared" si="8"/>
        <v>0.97110931475418616</v>
      </c>
      <c r="AA130" s="5">
        <f t="shared" si="9"/>
        <v>199.7407646541466</v>
      </c>
      <c r="AB130" s="5">
        <f t="shared" si="10"/>
        <v>9.3166666666666664</v>
      </c>
      <c r="AC130" s="5">
        <f t="shared" si="11"/>
        <v>22</v>
      </c>
      <c r="AD130" s="5">
        <f t="shared" si="12"/>
        <v>3</v>
      </c>
      <c r="AE130" s="5" t="str">
        <f t="shared" si="13"/>
        <v>Shortage</v>
      </c>
    </row>
    <row r="131" spans="1:31" x14ac:dyDescent="0.25">
      <c r="A131" t="s">
        <v>436</v>
      </c>
      <c r="B131" s="2">
        <v>46004</v>
      </c>
      <c r="C131" t="s">
        <v>437</v>
      </c>
      <c r="D131" t="s">
        <v>346</v>
      </c>
      <c r="E131" t="s">
        <v>347</v>
      </c>
      <c r="F131" t="s">
        <v>49</v>
      </c>
      <c r="G131" t="s">
        <v>43</v>
      </c>
      <c r="H131" t="s">
        <v>44</v>
      </c>
      <c r="I131">
        <v>8</v>
      </c>
      <c r="J131">
        <v>26</v>
      </c>
      <c r="K131">
        <v>12</v>
      </c>
      <c r="L131">
        <v>14</v>
      </c>
      <c r="M131">
        <v>0</v>
      </c>
      <c r="N131">
        <v>26</v>
      </c>
      <c r="O131">
        <v>0</v>
      </c>
      <c r="P131">
        <v>10</v>
      </c>
      <c r="Q131">
        <v>7.83</v>
      </c>
      <c r="R131">
        <v>203.58</v>
      </c>
      <c r="S131">
        <v>25759</v>
      </c>
      <c r="T131">
        <v>23222</v>
      </c>
      <c r="U131">
        <v>418</v>
      </c>
      <c r="V131">
        <v>22804</v>
      </c>
      <c r="W131" s="3">
        <f t="shared" ref="W131:W194" si="14">IFERROR(V131/R131,0)</f>
        <v>112.01493270458786</v>
      </c>
      <c r="X131">
        <v>124.78240035826239</v>
      </c>
      <c r="Y131" s="3">
        <v>124.78240035826239</v>
      </c>
      <c r="Z131" s="4">
        <f t="shared" ref="Z131:Z194" si="15">IFERROR(W131/Y131,0)</f>
        <v>0.8976821441403765</v>
      </c>
      <c r="AA131" s="5">
        <f t="shared" ref="AA131:AA194" si="16">IFERROR(S131/Y131,0)</f>
        <v>206.43135511132508</v>
      </c>
      <c r="AB131" s="5">
        <f t="shared" ref="AB131:AB194" si="17">MAX(0.1,I131-(P131/60))</f>
        <v>7.833333333333333</v>
      </c>
      <c r="AC131" s="5">
        <f t="shared" ref="AC131:AC194" si="18">IFERROR(CEILING(AA131/AB131,1),0)</f>
        <v>27</v>
      </c>
      <c r="AD131" s="5">
        <f t="shared" ref="AD131:AD194" si="19">AC131-N131</f>
        <v>1</v>
      </c>
      <c r="AE131" s="5" t="str">
        <f t="shared" ref="AE131:AE194" si="20">IF(AD131&gt;0,"Shortage",IF(AD131&lt;0,"Surplus","Balanced"))</f>
        <v>Shortage</v>
      </c>
    </row>
    <row r="132" spans="1:31" x14ac:dyDescent="0.25">
      <c r="A132" t="s">
        <v>438</v>
      </c>
      <c r="B132" s="2">
        <v>46006</v>
      </c>
      <c r="C132" t="s">
        <v>439</v>
      </c>
      <c r="D132" t="s">
        <v>440</v>
      </c>
      <c r="E132" t="s">
        <v>441</v>
      </c>
      <c r="F132" t="s">
        <v>68</v>
      </c>
      <c r="G132" t="s">
        <v>43</v>
      </c>
      <c r="H132" t="s">
        <v>44</v>
      </c>
      <c r="I132">
        <v>8</v>
      </c>
      <c r="J132">
        <v>28</v>
      </c>
      <c r="K132">
        <v>10</v>
      </c>
      <c r="L132">
        <v>18</v>
      </c>
      <c r="M132">
        <v>2</v>
      </c>
      <c r="N132">
        <v>26</v>
      </c>
      <c r="O132">
        <v>0</v>
      </c>
      <c r="P132">
        <v>51</v>
      </c>
      <c r="Q132">
        <v>7.15</v>
      </c>
      <c r="R132">
        <v>185.9</v>
      </c>
      <c r="S132">
        <v>24341</v>
      </c>
      <c r="T132">
        <v>19041</v>
      </c>
      <c r="U132">
        <v>619</v>
      </c>
      <c r="V132">
        <v>18422</v>
      </c>
      <c r="W132" s="3">
        <f t="shared" si="14"/>
        <v>99.09628832705755</v>
      </c>
      <c r="X132">
        <v>128.22014138735929</v>
      </c>
      <c r="Y132" s="3">
        <v>128.22014138735929</v>
      </c>
      <c r="Z132" s="4">
        <f t="shared" si="15"/>
        <v>0.7728605448007021</v>
      </c>
      <c r="AA132" s="5">
        <f t="shared" si="16"/>
        <v>189.8375694850051</v>
      </c>
      <c r="AB132" s="5">
        <f t="shared" si="17"/>
        <v>7.15</v>
      </c>
      <c r="AC132" s="5">
        <f t="shared" si="18"/>
        <v>27</v>
      </c>
      <c r="AD132" s="5">
        <f t="shared" si="19"/>
        <v>1</v>
      </c>
      <c r="AE132" s="5" t="str">
        <f t="shared" si="20"/>
        <v>Shortage</v>
      </c>
    </row>
    <row r="133" spans="1:31" x14ac:dyDescent="0.25">
      <c r="A133" t="s">
        <v>442</v>
      </c>
      <c r="B133" s="2">
        <v>46006</v>
      </c>
      <c r="C133" t="s">
        <v>443</v>
      </c>
      <c r="D133" t="s">
        <v>224</v>
      </c>
      <c r="E133" t="s">
        <v>225</v>
      </c>
      <c r="F133" t="s">
        <v>42</v>
      </c>
      <c r="G133" t="s">
        <v>79</v>
      </c>
      <c r="H133" t="s">
        <v>37</v>
      </c>
      <c r="I133">
        <v>8</v>
      </c>
      <c r="J133">
        <v>15</v>
      </c>
      <c r="K133">
        <v>5</v>
      </c>
      <c r="L133">
        <v>10</v>
      </c>
      <c r="M133">
        <v>0</v>
      </c>
      <c r="N133">
        <v>15</v>
      </c>
      <c r="O133">
        <v>0</v>
      </c>
      <c r="P133">
        <v>60</v>
      </c>
      <c r="Q133">
        <v>7</v>
      </c>
      <c r="R133">
        <v>105</v>
      </c>
      <c r="S133">
        <v>13866</v>
      </c>
      <c r="T133">
        <v>9480</v>
      </c>
      <c r="U133">
        <v>328</v>
      </c>
      <c r="V133">
        <v>9152</v>
      </c>
      <c r="W133" s="3">
        <f t="shared" si="14"/>
        <v>87.161904761904765</v>
      </c>
      <c r="X133">
        <v>99.399922570654283</v>
      </c>
      <c r="Y133" s="3">
        <v>99.399922570654283</v>
      </c>
      <c r="Z133" s="4">
        <f t="shared" si="15"/>
        <v>0.87688101265822782</v>
      </c>
      <c r="AA133" s="5">
        <f t="shared" si="16"/>
        <v>139.49709055501461</v>
      </c>
      <c r="AB133" s="5">
        <f t="shared" si="17"/>
        <v>7</v>
      </c>
      <c r="AC133" s="5">
        <f t="shared" si="18"/>
        <v>20</v>
      </c>
      <c r="AD133" s="5">
        <f t="shared" si="19"/>
        <v>5</v>
      </c>
      <c r="AE133" s="5" t="str">
        <f t="shared" si="20"/>
        <v>Shortage</v>
      </c>
    </row>
    <row r="134" spans="1:31" x14ac:dyDescent="0.25">
      <c r="A134" t="s">
        <v>444</v>
      </c>
      <c r="B134" s="2">
        <v>46006</v>
      </c>
      <c r="C134" t="s">
        <v>445</v>
      </c>
      <c r="D134" t="s">
        <v>182</v>
      </c>
      <c r="E134" t="s">
        <v>183</v>
      </c>
      <c r="F134" t="s">
        <v>68</v>
      </c>
      <c r="G134" t="s">
        <v>79</v>
      </c>
      <c r="H134" t="s">
        <v>50</v>
      </c>
      <c r="I134">
        <v>10</v>
      </c>
      <c r="J134">
        <v>22</v>
      </c>
      <c r="K134">
        <v>7</v>
      </c>
      <c r="L134">
        <v>15</v>
      </c>
      <c r="M134">
        <v>0</v>
      </c>
      <c r="N134">
        <v>22</v>
      </c>
      <c r="O134">
        <v>1</v>
      </c>
      <c r="P134">
        <v>20</v>
      </c>
      <c r="Q134">
        <v>9.67</v>
      </c>
      <c r="R134">
        <v>212.74</v>
      </c>
      <c r="S134">
        <v>28655</v>
      </c>
      <c r="T134">
        <v>25241</v>
      </c>
      <c r="U134">
        <v>553</v>
      </c>
      <c r="V134">
        <v>24688</v>
      </c>
      <c r="W134" s="3">
        <f t="shared" si="14"/>
        <v>116.04775782645483</v>
      </c>
      <c r="X134">
        <v>114.6579540175248</v>
      </c>
      <c r="Y134" s="3">
        <v>114.6579540175248</v>
      </c>
      <c r="Z134" s="4">
        <f t="shared" si="15"/>
        <v>1.0121213030603844</v>
      </c>
      <c r="AA134" s="5">
        <f t="shared" si="16"/>
        <v>249.91724512736596</v>
      </c>
      <c r="AB134" s="5">
        <f t="shared" si="17"/>
        <v>9.6666666666666661</v>
      </c>
      <c r="AC134" s="5">
        <f t="shared" si="18"/>
        <v>26</v>
      </c>
      <c r="AD134" s="5">
        <f t="shared" si="19"/>
        <v>4</v>
      </c>
      <c r="AE134" s="5" t="str">
        <f t="shared" si="20"/>
        <v>Shortage</v>
      </c>
    </row>
    <row r="135" spans="1:31" x14ac:dyDescent="0.25">
      <c r="A135" t="s">
        <v>446</v>
      </c>
      <c r="B135" s="2">
        <v>46010</v>
      </c>
      <c r="C135" t="s">
        <v>447</v>
      </c>
      <c r="D135" t="s">
        <v>448</v>
      </c>
      <c r="E135" t="s">
        <v>449</v>
      </c>
      <c r="F135" t="s">
        <v>49</v>
      </c>
      <c r="G135" t="s">
        <v>43</v>
      </c>
      <c r="H135" t="s">
        <v>50</v>
      </c>
      <c r="I135">
        <v>8</v>
      </c>
      <c r="J135">
        <v>22</v>
      </c>
      <c r="K135">
        <v>9</v>
      </c>
      <c r="L135">
        <v>13</v>
      </c>
      <c r="M135">
        <v>1</v>
      </c>
      <c r="N135">
        <v>21</v>
      </c>
      <c r="O135">
        <v>0</v>
      </c>
      <c r="P135">
        <v>39</v>
      </c>
      <c r="Q135">
        <v>7.35</v>
      </c>
      <c r="R135">
        <v>154.35</v>
      </c>
      <c r="S135">
        <v>21733</v>
      </c>
      <c r="T135">
        <v>18806</v>
      </c>
      <c r="U135">
        <v>495</v>
      </c>
      <c r="V135">
        <v>18311</v>
      </c>
      <c r="W135" s="3">
        <f t="shared" si="14"/>
        <v>118.63297700032395</v>
      </c>
      <c r="X135">
        <v>124.78240035826239</v>
      </c>
      <c r="Y135" s="3">
        <v>124.78240035826239</v>
      </c>
      <c r="Z135" s="4">
        <f t="shared" si="15"/>
        <v>0.95071882460761414</v>
      </c>
      <c r="AA135" s="5">
        <f t="shared" si="16"/>
        <v>174.16718974472718</v>
      </c>
      <c r="AB135" s="5">
        <f t="shared" si="17"/>
        <v>7.35</v>
      </c>
      <c r="AC135" s="5">
        <f t="shared" si="18"/>
        <v>24</v>
      </c>
      <c r="AD135" s="5">
        <f t="shared" si="19"/>
        <v>3</v>
      </c>
      <c r="AE135" s="5" t="str">
        <f t="shared" si="20"/>
        <v>Shortage</v>
      </c>
    </row>
    <row r="136" spans="1:31" x14ac:dyDescent="0.25">
      <c r="A136" t="s">
        <v>450</v>
      </c>
      <c r="B136" s="2">
        <v>46011</v>
      </c>
      <c r="C136" t="s">
        <v>451</v>
      </c>
      <c r="D136" t="s">
        <v>452</v>
      </c>
      <c r="E136" t="s">
        <v>453</v>
      </c>
      <c r="F136" t="s">
        <v>55</v>
      </c>
      <c r="G136" t="s">
        <v>43</v>
      </c>
      <c r="H136" t="s">
        <v>74</v>
      </c>
      <c r="I136">
        <v>9</v>
      </c>
      <c r="J136">
        <v>17</v>
      </c>
      <c r="K136">
        <v>8</v>
      </c>
      <c r="L136">
        <v>9</v>
      </c>
      <c r="M136">
        <v>2</v>
      </c>
      <c r="N136">
        <v>15</v>
      </c>
      <c r="O136">
        <v>0</v>
      </c>
      <c r="P136">
        <v>42</v>
      </c>
      <c r="Q136">
        <v>8.3000000000000007</v>
      </c>
      <c r="R136">
        <v>124.5</v>
      </c>
      <c r="S136">
        <v>15167</v>
      </c>
      <c r="T136">
        <v>12755</v>
      </c>
      <c r="U136">
        <v>163</v>
      </c>
      <c r="V136">
        <v>12592</v>
      </c>
      <c r="W136" s="3">
        <f t="shared" si="14"/>
        <v>101.14056224899599</v>
      </c>
      <c r="X136">
        <v>109.38855294136761</v>
      </c>
      <c r="Y136" s="3">
        <v>109.38855294136761</v>
      </c>
      <c r="Z136" s="4">
        <f t="shared" si="15"/>
        <v>0.92459914250083786</v>
      </c>
      <c r="AA136" s="5">
        <f t="shared" si="16"/>
        <v>138.6525334888517</v>
      </c>
      <c r="AB136" s="5">
        <f t="shared" si="17"/>
        <v>8.3000000000000007</v>
      </c>
      <c r="AC136" s="5">
        <f t="shared" si="18"/>
        <v>17</v>
      </c>
      <c r="AD136" s="5">
        <f t="shared" si="19"/>
        <v>2</v>
      </c>
      <c r="AE136" s="5" t="str">
        <f t="shared" si="20"/>
        <v>Shortage</v>
      </c>
    </row>
    <row r="137" spans="1:31" x14ac:dyDescent="0.25">
      <c r="A137" t="s">
        <v>454</v>
      </c>
      <c r="B137" s="2">
        <v>46012</v>
      </c>
      <c r="C137" t="s">
        <v>455</v>
      </c>
      <c r="D137" t="s">
        <v>228</v>
      </c>
      <c r="E137" t="s">
        <v>229</v>
      </c>
      <c r="F137" t="s">
        <v>49</v>
      </c>
      <c r="G137" t="s">
        <v>79</v>
      </c>
      <c r="H137" t="s">
        <v>50</v>
      </c>
      <c r="I137">
        <v>8</v>
      </c>
      <c r="J137">
        <v>22</v>
      </c>
      <c r="K137">
        <v>10</v>
      </c>
      <c r="L137">
        <v>12</v>
      </c>
      <c r="M137">
        <v>1</v>
      </c>
      <c r="N137">
        <v>21</v>
      </c>
      <c r="O137">
        <v>2</v>
      </c>
      <c r="P137">
        <v>58</v>
      </c>
      <c r="Q137">
        <v>7.03</v>
      </c>
      <c r="R137">
        <v>147.63</v>
      </c>
      <c r="S137">
        <v>17391</v>
      </c>
      <c r="T137">
        <v>14165</v>
      </c>
      <c r="U137">
        <v>415</v>
      </c>
      <c r="V137">
        <v>13750</v>
      </c>
      <c r="W137" s="3">
        <f t="shared" si="14"/>
        <v>93.138251032987881</v>
      </c>
      <c r="X137">
        <v>107.36289227751951</v>
      </c>
      <c r="Y137" s="3">
        <v>107.36289227751951</v>
      </c>
      <c r="Z137" s="4">
        <f t="shared" si="15"/>
        <v>0.86750877381579172</v>
      </c>
      <c r="AA137" s="5">
        <f t="shared" si="16"/>
        <v>161.98334108815234</v>
      </c>
      <c r="AB137" s="5">
        <f t="shared" si="17"/>
        <v>7.0333333333333332</v>
      </c>
      <c r="AC137" s="5">
        <f t="shared" si="18"/>
        <v>24</v>
      </c>
      <c r="AD137" s="5">
        <f t="shared" si="19"/>
        <v>3</v>
      </c>
      <c r="AE137" s="5" t="str">
        <f t="shared" si="20"/>
        <v>Shortage</v>
      </c>
    </row>
    <row r="138" spans="1:31" x14ac:dyDescent="0.25">
      <c r="A138" t="s">
        <v>456</v>
      </c>
      <c r="B138" s="2">
        <v>46013</v>
      </c>
      <c r="C138" t="s">
        <v>457</v>
      </c>
      <c r="D138" t="s">
        <v>440</v>
      </c>
      <c r="E138" t="s">
        <v>441</v>
      </c>
      <c r="F138" t="s">
        <v>49</v>
      </c>
      <c r="G138" t="s">
        <v>36</v>
      </c>
      <c r="H138" t="s">
        <v>50</v>
      </c>
      <c r="I138">
        <v>8</v>
      </c>
      <c r="J138">
        <v>20</v>
      </c>
      <c r="K138">
        <v>10</v>
      </c>
      <c r="L138">
        <v>10</v>
      </c>
      <c r="M138">
        <v>0</v>
      </c>
      <c r="N138">
        <v>20</v>
      </c>
      <c r="O138">
        <v>2</v>
      </c>
      <c r="P138">
        <v>52</v>
      </c>
      <c r="Q138">
        <v>7.13</v>
      </c>
      <c r="R138">
        <v>142.6</v>
      </c>
      <c r="S138">
        <v>19323</v>
      </c>
      <c r="T138">
        <v>14165</v>
      </c>
      <c r="U138">
        <v>362</v>
      </c>
      <c r="V138">
        <v>13803</v>
      </c>
      <c r="W138" s="3">
        <f t="shared" si="14"/>
        <v>96.795231416549797</v>
      </c>
      <c r="X138">
        <v>118.4084783141387</v>
      </c>
      <c r="Y138" s="3">
        <v>118.4084783141387</v>
      </c>
      <c r="Z138" s="4">
        <f t="shared" si="15"/>
        <v>0.81746875557129639</v>
      </c>
      <c r="AA138" s="5">
        <f t="shared" si="16"/>
        <v>163.189327952817</v>
      </c>
      <c r="AB138" s="5">
        <f t="shared" si="17"/>
        <v>7.1333333333333329</v>
      </c>
      <c r="AC138" s="5">
        <f t="shared" si="18"/>
        <v>23</v>
      </c>
      <c r="AD138" s="5">
        <f t="shared" si="19"/>
        <v>3</v>
      </c>
      <c r="AE138" s="5" t="str">
        <f t="shared" si="20"/>
        <v>Shortage</v>
      </c>
    </row>
    <row r="139" spans="1:31" x14ac:dyDescent="0.25">
      <c r="A139" t="s">
        <v>458</v>
      </c>
      <c r="B139" s="2">
        <v>46013</v>
      </c>
      <c r="C139" t="s">
        <v>459</v>
      </c>
      <c r="D139" t="s">
        <v>355</v>
      </c>
      <c r="E139" t="s">
        <v>356</v>
      </c>
      <c r="F139" t="s">
        <v>49</v>
      </c>
      <c r="G139" t="s">
        <v>36</v>
      </c>
      <c r="H139" t="s">
        <v>69</v>
      </c>
      <c r="I139">
        <v>8</v>
      </c>
      <c r="J139">
        <v>24</v>
      </c>
      <c r="K139">
        <v>7</v>
      </c>
      <c r="L139">
        <v>17</v>
      </c>
      <c r="M139">
        <v>3</v>
      </c>
      <c r="N139">
        <v>21</v>
      </c>
      <c r="O139">
        <v>2</v>
      </c>
      <c r="P139">
        <v>27</v>
      </c>
      <c r="Q139">
        <v>7.55</v>
      </c>
      <c r="R139">
        <v>158.55000000000001</v>
      </c>
      <c r="S139">
        <v>24045</v>
      </c>
      <c r="T139">
        <v>17703</v>
      </c>
      <c r="U139">
        <v>276</v>
      </c>
      <c r="V139">
        <v>17427</v>
      </c>
      <c r="W139" s="3">
        <f t="shared" si="14"/>
        <v>109.91485335856196</v>
      </c>
      <c r="X139">
        <v>118.4084783141387</v>
      </c>
      <c r="Y139" s="3">
        <v>118.4084783141387</v>
      </c>
      <c r="Z139" s="4">
        <f t="shared" si="15"/>
        <v>0.92826843924939995</v>
      </c>
      <c r="AA139" s="5">
        <f t="shared" si="16"/>
        <v>203.06822908582956</v>
      </c>
      <c r="AB139" s="5">
        <f t="shared" si="17"/>
        <v>7.55</v>
      </c>
      <c r="AC139" s="5">
        <f t="shared" si="18"/>
        <v>27</v>
      </c>
      <c r="AD139" s="5">
        <f t="shared" si="19"/>
        <v>6</v>
      </c>
      <c r="AE139" s="5" t="str">
        <f t="shared" si="20"/>
        <v>Shortage</v>
      </c>
    </row>
    <row r="140" spans="1:31" x14ac:dyDescent="0.25">
      <c r="A140" t="s">
        <v>460</v>
      </c>
      <c r="B140" s="2">
        <v>46013</v>
      </c>
      <c r="C140" t="s">
        <v>461</v>
      </c>
      <c r="D140" t="s">
        <v>346</v>
      </c>
      <c r="E140" t="s">
        <v>347</v>
      </c>
      <c r="F140" t="s">
        <v>55</v>
      </c>
      <c r="G140" t="s">
        <v>36</v>
      </c>
      <c r="H140" t="s">
        <v>88</v>
      </c>
      <c r="I140">
        <v>10</v>
      </c>
      <c r="J140">
        <v>13</v>
      </c>
      <c r="K140">
        <v>4</v>
      </c>
      <c r="L140">
        <v>9</v>
      </c>
      <c r="M140">
        <v>0</v>
      </c>
      <c r="N140">
        <v>13</v>
      </c>
      <c r="O140">
        <v>0</v>
      </c>
      <c r="P140">
        <v>12</v>
      </c>
      <c r="Q140">
        <v>9.8000000000000007</v>
      </c>
      <c r="R140">
        <v>127.4</v>
      </c>
      <c r="S140">
        <v>15710</v>
      </c>
      <c r="T140">
        <v>13771</v>
      </c>
      <c r="U140">
        <v>272</v>
      </c>
      <c r="V140">
        <v>13499</v>
      </c>
      <c r="W140" s="3">
        <f t="shared" si="14"/>
        <v>105.95761381475667</v>
      </c>
      <c r="X140">
        <v>108.32817332835501</v>
      </c>
      <c r="Y140" s="3">
        <v>108.32817332835501</v>
      </c>
      <c r="Z140" s="4">
        <f t="shared" si="15"/>
        <v>0.97811686987084234</v>
      </c>
      <c r="AA140" s="5">
        <f t="shared" si="16"/>
        <v>145.02229214537942</v>
      </c>
      <c r="AB140" s="5">
        <f t="shared" si="17"/>
        <v>9.8000000000000007</v>
      </c>
      <c r="AC140" s="5">
        <f t="shared" si="18"/>
        <v>15</v>
      </c>
      <c r="AD140" s="5">
        <f t="shared" si="19"/>
        <v>2</v>
      </c>
      <c r="AE140" s="5" t="str">
        <f t="shared" si="20"/>
        <v>Shortage</v>
      </c>
    </row>
    <row r="141" spans="1:31" x14ac:dyDescent="0.25">
      <c r="A141" t="s">
        <v>462</v>
      </c>
      <c r="B141" s="2">
        <v>46014</v>
      </c>
      <c r="C141" t="s">
        <v>463</v>
      </c>
      <c r="D141" t="s">
        <v>297</v>
      </c>
      <c r="E141" t="s">
        <v>298</v>
      </c>
      <c r="F141" t="s">
        <v>49</v>
      </c>
      <c r="G141" t="s">
        <v>43</v>
      </c>
      <c r="H141" t="s">
        <v>69</v>
      </c>
      <c r="I141">
        <v>8</v>
      </c>
      <c r="J141">
        <v>27</v>
      </c>
      <c r="K141">
        <v>12</v>
      </c>
      <c r="L141">
        <v>15</v>
      </c>
      <c r="M141">
        <v>0</v>
      </c>
      <c r="N141">
        <v>27</v>
      </c>
      <c r="O141">
        <v>2</v>
      </c>
      <c r="P141">
        <v>16</v>
      </c>
      <c r="Q141">
        <v>7.73</v>
      </c>
      <c r="R141">
        <v>208.71</v>
      </c>
      <c r="S141">
        <v>21290</v>
      </c>
      <c r="T141">
        <v>20225</v>
      </c>
      <c r="U141">
        <v>628</v>
      </c>
      <c r="V141">
        <v>19597</v>
      </c>
      <c r="W141" s="3">
        <f t="shared" si="14"/>
        <v>93.895836327919113</v>
      </c>
      <c r="X141">
        <v>124.78240035826239</v>
      </c>
      <c r="Y141" s="3">
        <v>124.78240035826239</v>
      </c>
      <c r="Z141" s="4">
        <f t="shared" si="15"/>
        <v>0.75247659973149295</v>
      </c>
      <c r="AA141" s="5">
        <f t="shared" si="16"/>
        <v>170.61700960130869</v>
      </c>
      <c r="AB141" s="5">
        <f t="shared" si="17"/>
        <v>7.7333333333333334</v>
      </c>
      <c r="AC141" s="5">
        <f t="shared" si="18"/>
        <v>23</v>
      </c>
      <c r="AD141" s="5">
        <f t="shared" si="19"/>
        <v>-4</v>
      </c>
      <c r="AE141" s="5" t="str">
        <f t="shared" si="20"/>
        <v>Surplus</v>
      </c>
    </row>
    <row r="142" spans="1:31" x14ac:dyDescent="0.25">
      <c r="A142" t="s">
        <v>464</v>
      </c>
      <c r="B142" s="2">
        <v>46017</v>
      </c>
      <c r="C142" t="s">
        <v>465</v>
      </c>
      <c r="D142" t="s">
        <v>466</v>
      </c>
      <c r="E142" t="s">
        <v>467</v>
      </c>
      <c r="F142" t="s">
        <v>55</v>
      </c>
      <c r="G142" t="s">
        <v>36</v>
      </c>
      <c r="H142" t="s">
        <v>74</v>
      </c>
      <c r="I142">
        <v>9</v>
      </c>
      <c r="J142">
        <v>18</v>
      </c>
      <c r="K142">
        <v>8</v>
      </c>
      <c r="L142">
        <v>10</v>
      </c>
      <c r="M142">
        <v>0</v>
      </c>
      <c r="N142">
        <v>18</v>
      </c>
      <c r="O142">
        <v>2</v>
      </c>
      <c r="P142">
        <v>17</v>
      </c>
      <c r="Q142">
        <v>8.7200000000000006</v>
      </c>
      <c r="R142">
        <v>156.96</v>
      </c>
      <c r="S142">
        <v>19016</v>
      </c>
      <c r="T142">
        <v>17039</v>
      </c>
      <c r="U142">
        <v>644</v>
      </c>
      <c r="V142">
        <v>16395</v>
      </c>
      <c r="W142" s="3">
        <f t="shared" si="14"/>
        <v>104.45336391437309</v>
      </c>
      <c r="X142">
        <v>108.32817332835501</v>
      </c>
      <c r="Y142" s="3">
        <v>108.32817332835501</v>
      </c>
      <c r="Z142" s="4">
        <f t="shared" si="15"/>
        <v>0.96423082477134614</v>
      </c>
      <c r="AA142" s="5">
        <f t="shared" si="16"/>
        <v>175.54066883746248</v>
      </c>
      <c r="AB142" s="5">
        <f t="shared" si="17"/>
        <v>8.7166666666666668</v>
      </c>
      <c r="AC142" s="5">
        <f t="shared" si="18"/>
        <v>21</v>
      </c>
      <c r="AD142" s="5">
        <f t="shared" si="19"/>
        <v>3</v>
      </c>
      <c r="AE142" s="5" t="str">
        <f t="shared" si="20"/>
        <v>Shortage</v>
      </c>
    </row>
    <row r="143" spans="1:31" x14ac:dyDescent="0.25">
      <c r="A143" t="s">
        <v>468</v>
      </c>
      <c r="B143" s="2">
        <v>46017</v>
      </c>
      <c r="C143" t="s">
        <v>469</v>
      </c>
      <c r="D143" t="s">
        <v>66</v>
      </c>
      <c r="E143" t="s">
        <v>67</v>
      </c>
      <c r="F143" t="s">
        <v>55</v>
      </c>
      <c r="G143" t="s">
        <v>79</v>
      </c>
      <c r="H143" t="s">
        <v>44</v>
      </c>
      <c r="I143">
        <v>10</v>
      </c>
      <c r="J143">
        <v>11</v>
      </c>
      <c r="K143">
        <v>4</v>
      </c>
      <c r="L143">
        <v>7</v>
      </c>
      <c r="M143">
        <v>0</v>
      </c>
      <c r="N143">
        <v>11</v>
      </c>
      <c r="O143">
        <v>3</v>
      </c>
      <c r="P143">
        <v>55</v>
      </c>
      <c r="Q143">
        <v>9.08</v>
      </c>
      <c r="R143">
        <v>99.88</v>
      </c>
      <c r="S143">
        <v>9194</v>
      </c>
      <c r="T143">
        <v>6967</v>
      </c>
      <c r="U143">
        <v>41</v>
      </c>
      <c r="V143">
        <v>6926</v>
      </c>
      <c r="W143" s="3">
        <f t="shared" si="14"/>
        <v>69.343211854225075</v>
      </c>
      <c r="X143">
        <v>99.520305551967823</v>
      </c>
      <c r="Y143" s="3">
        <v>99.520305551967823</v>
      </c>
      <c r="Z143" s="4">
        <f t="shared" si="15"/>
        <v>0.69677450716844136</v>
      </c>
      <c r="AA143" s="5">
        <f t="shared" si="16"/>
        <v>92.383156874443557</v>
      </c>
      <c r="AB143" s="5">
        <f t="shared" si="17"/>
        <v>9.0833333333333339</v>
      </c>
      <c r="AC143" s="5">
        <f t="shared" si="18"/>
        <v>11</v>
      </c>
      <c r="AD143" s="5">
        <f t="shared" si="19"/>
        <v>0</v>
      </c>
      <c r="AE143" s="5" t="str">
        <f t="shared" si="20"/>
        <v>Balanced</v>
      </c>
    </row>
    <row r="144" spans="1:31" x14ac:dyDescent="0.25">
      <c r="A144" t="s">
        <v>470</v>
      </c>
      <c r="B144" s="2">
        <v>46018</v>
      </c>
      <c r="C144" t="s">
        <v>471</v>
      </c>
      <c r="D144" t="s">
        <v>363</v>
      </c>
      <c r="E144" t="s">
        <v>364</v>
      </c>
      <c r="F144" t="s">
        <v>49</v>
      </c>
      <c r="G144" t="s">
        <v>36</v>
      </c>
      <c r="H144" t="s">
        <v>37</v>
      </c>
      <c r="I144">
        <v>10</v>
      </c>
      <c r="J144">
        <v>25</v>
      </c>
      <c r="K144">
        <v>11</v>
      </c>
      <c r="L144">
        <v>14</v>
      </c>
      <c r="M144">
        <v>1</v>
      </c>
      <c r="N144">
        <v>24</v>
      </c>
      <c r="O144">
        <v>0</v>
      </c>
      <c r="P144">
        <v>17</v>
      </c>
      <c r="Q144">
        <v>9.7200000000000006</v>
      </c>
      <c r="R144">
        <v>233.28</v>
      </c>
      <c r="S144">
        <v>21639</v>
      </c>
      <c r="T144">
        <v>20651</v>
      </c>
      <c r="U144">
        <v>532</v>
      </c>
      <c r="V144">
        <v>20119</v>
      </c>
      <c r="W144" s="3">
        <f t="shared" si="14"/>
        <v>86.243998628257884</v>
      </c>
      <c r="X144">
        <v>118.4084783141387</v>
      </c>
      <c r="Y144" s="3">
        <v>118.4084783141387</v>
      </c>
      <c r="Z144" s="4">
        <f t="shared" si="15"/>
        <v>0.7283599946234578</v>
      </c>
      <c r="AA144" s="5">
        <f t="shared" si="16"/>
        <v>182.74873816545085</v>
      </c>
      <c r="AB144" s="5">
        <f t="shared" si="17"/>
        <v>9.7166666666666668</v>
      </c>
      <c r="AC144" s="5">
        <f t="shared" si="18"/>
        <v>19</v>
      </c>
      <c r="AD144" s="5">
        <f t="shared" si="19"/>
        <v>-5</v>
      </c>
      <c r="AE144" s="5" t="str">
        <f t="shared" si="20"/>
        <v>Surplus</v>
      </c>
    </row>
    <row r="145" spans="1:31" x14ac:dyDescent="0.25">
      <c r="A145" t="s">
        <v>472</v>
      </c>
      <c r="B145" s="2">
        <v>46018</v>
      </c>
      <c r="C145" t="s">
        <v>473</v>
      </c>
      <c r="D145" t="s">
        <v>408</v>
      </c>
      <c r="E145" t="s">
        <v>409</v>
      </c>
      <c r="F145" t="s">
        <v>55</v>
      </c>
      <c r="G145" t="s">
        <v>43</v>
      </c>
      <c r="H145" t="s">
        <v>88</v>
      </c>
      <c r="I145">
        <v>9</v>
      </c>
      <c r="J145">
        <v>18</v>
      </c>
      <c r="K145">
        <v>9</v>
      </c>
      <c r="L145">
        <v>9</v>
      </c>
      <c r="M145">
        <v>0</v>
      </c>
      <c r="N145">
        <v>18</v>
      </c>
      <c r="O145">
        <v>0</v>
      </c>
      <c r="P145">
        <v>48</v>
      </c>
      <c r="Q145">
        <v>8.1999999999999993</v>
      </c>
      <c r="R145">
        <v>147.6</v>
      </c>
      <c r="S145">
        <v>18348</v>
      </c>
      <c r="T145">
        <v>15171</v>
      </c>
      <c r="U145">
        <v>371</v>
      </c>
      <c r="V145">
        <v>14800</v>
      </c>
      <c r="W145" s="3">
        <f t="shared" si="14"/>
        <v>100.2710027100271</v>
      </c>
      <c r="X145">
        <v>109.38855294136761</v>
      </c>
      <c r="Y145" s="3">
        <v>109.38855294136761</v>
      </c>
      <c r="Z145" s="4">
        <f t="shared" si="15"/>
        <v>0.91664986887405375</v>
      </c>
      <c r="AA145" s="5">
        <f t="shared" si="16"/>
        <v>167.73235870333298</v>
      </c>
      <c r="AB145" s="5">
        <f t="shared" si="17"/>
        <v>8.1999999999999993</v>
      </c>
      <c r="AC145" s="5">
        <f t="shared" si="18"/>
        <v>21</v>
      </c>
      <c r="AD145" s="5">
        <f t="shared" si="19"/>
        <v>3</v>
      </c>
      <c r="AE145" s="5" t="str">
        <f t="shared" si="20"/>
        <v>Shortage</v>
      </c>
    </row>
    <row r="146" spans="1:31" x14ac:dyDescent="0.25">
      <c r="A146" t="s">
        <v>474</v>
      </c>
      <c r="B146" s="2">
        <v>46019</v>
      </c>
      <c r="C146" t="s">
        <v>475</v>
      </c>
      <c r="D146" t="s">
        <v>216</v>
      </c>
      <c r="E146" t="s">
        <v>217</v>
      </c>
      <c r="F146" t="s">
        <v>49</v>
      </c>
      <c r="G146" t="s">
        <v>43</v>
      </c>
      <c r="H146" t="s">
        <v>74</v>
      </c>
      <c r="I146">
        <v>10</v>
      </c>
      <c r="J146">
        <v>24</v>
      </c>
      <c r="K146">
        <v>12</v>
      </c>
      <c r="L146">
        <v>12</v>
      </c>
      <c r="M146">
        <v>0</v>
      </c>
      <c r="N146">
        <v>24</v>
      </c>
      <c r="O146">
        <v>3</v>
      </c>
      <c r="P146">
        <v>48</v>
      </c>
      <c r="Q146">
        <v>9.1999999999999993</v>
      </c>
      <c r="R146">
        <v>220.8</v>
      </c>
      <c r="S146">
        <v>31648</v>
      </c>
      <c r="T146">
        <v>24725</v>
      </c>
      <c r="U146">
        <v>295</v>
      </c>
      <c r="V146">
        <v>24430</v>
      </c>
      <c r="W146" s="3">
        <f t="shared" si="14"/>
        <v>110.64311594202898</v>
      </c>
      <c r="X146">
        <v>124.78240035826239</v>
      </c>
      <c r="Y146" s="3">
        <v>124.78240035826239</v>
      </c>
      <c r="Z146" s="4">
        <f t="shared" si="15"/>
        <v>0.88668847228745284</v>
      </c>
      <c r="AA146" s="5">
        <f t="shared" si="16"/>
        <v>253.62551056187024</v>
      </c>
      <c r="AB146" s="5">
        <f t="shared" si="17"/>
        <v>9.1999999999999993</v>
      </c>
      <c r="AC146" s="5">
        <f t="shared" si="18"/>
        <v>28</v>
      </c>
      <c r="AD146" s="5">
        <f t="shared" si="19"/>
        <v>4</v>
      </c>
      <c r="AE146" s="5" t="str">
        <f t="shared" si="20"/>
        <v>Shortage</v>
      </c>
    </row>
    <row r="147" spans="1:31" x14ac:dyDescent="0.25">
      <c r="A147" t="s">
        <v>476</v>
      </c>
      <c r="B147" s="2">
        <v>46019</v>
      </c>
      <c r="C147" t="s">
        <v>477</v>
      </c>
      <c r="D147" t="s">
        <v>342</v>
      </c>
      <c r="E147" t="s">
        <v>343</v>
      </c>
      <c r="F147" t="s">
        <v>55</v>
      </c>
      <c r="G147" t="s">
        <v>79</v>
      </c>
      <c r="H147" t="s">
        <v>69</v>
      </c>
      <c r="I147">
        <v>8</v>
      </c>
      <c r="J147">
        <v>16</v>
      </c>
      <c r="K147">
        <v>5</v>
      </c>
      <c r="L147">
        <v>11</v>
      </c>
      <c r="M147">
        <v>0</v>
      </c>
      <c r="N147">
        <v>16</v>
      </c>
      <c r="O147">
        <v>0</v>
      </c>
      <c r="P147">
        <v>25</v>
      </c>
      <c r="Q147">
        <v>7.58</v>
      </c>
      <c r="R147">
        <v>121.28</v>
      </c>
      <c r="S147">
        <v>12387</v>
      </c>
      <c r="T147">
        <v>12358</v>
      </c>
      <c r="U147">
        <v>326</v>
      </c>
      <c r="V147">
        <v>12032</v>
      </c>
      <c r="W147" s="3">
        <f t="shared" si="14"/>
        <v>99.208443271767806</v>
      </c>
      <c r="X147">
        <v>99.520305551967823</v>
      </c>
      <c r="Y147" s="3">
        <v>99.520305551967823</v>
      </c>
      <c r="Z147" s="4">
        <f t="shared" si="15"/>
        <v>0.99686634523004791</v>
      </c>
      <c r="AA147" s="5">
        <f t="shared" si="16"/>
        <v>124.46706158404747</v>
      </c>
      <c r="AB147" s="5">
        <f t="shared" si="17"/>
        <v>7.583333333333333</v>
      </c>
      <c r="AC147" s="5">
        <f t="shared" si="18"/>
        <v>17</v>
      </c>
      <c r="AD147" s="5">
        <f t="shared" si="19"/>
        <v>1</v>
      </c>
      <c r="AE147" s="5" t="str">
        <f t="shared" si="20"/>
        <v>Shortage</v>
      </c>
    </row>
    <row r="148" spans="1:31" x14ac:dyDescent="0.25">
      <c r="A148" t="s">
        <v>478</v>
      </c>
      <c r="B148" s="2">
        <v>46020</v>
      </c>
      <c r="C148" t="s">
        <v>479</v>
      </c>
      <c r="D148" t="s">
        <v>58</v>
      </c>
      <c r="E148" t="s">
        <v>59</v>
      </c>
      <c r="F148" t="s">
        <v>55</v>
      </c>
      <c r="G148" t="s">
        <v>43</v>
      </c>
      <c r="H148" t="s">
        <v>74</v>
      </c>
      <c r="I148">
        <v>8</v>
      </c>
      <c r="J148">
        <v>20</v>
      </c>
      <c r="K148">
        <v>6</v>
      </c>
      <c r="L148">
        <v>14</v>
      </c>
      <c r="M148">
        <v>2</v>
      </c>
      <c r="N148">
        <v>18</v>
      </c>
      <c r="O148">
        <v>2</v>
      </c>
      <c r="P148">
        <v>58</v>
      </c>
      <c r="Q148">
        <v>7.03</v>
      </c>
      <c r="R148">
        <v>126.54</v>
      </c>
      <c r="S148">
        <v>11886</v>
      </c>
      <c r="T148">
        <v>8390</v>
      </c>
      <c r="U148">
        <v>341</v>
      </c>
      <c r="V148">
        <v>8049</v>
      </c>
      <c r="W148" s="3">
        <f t="shared" si="14"/>
        <v>63.608345187292549</v>
      </c>
      <c r="X148">
        <v>109.38855294136761</v>
      </c>
      <c r="Y148" s="3">
        <v>109.38855294136761</v>
      </c>
      <c r="Z148" s="4">
        <f t="shared" si="15"/>
        <v>0.58148995920429347</v>
      </c>
      <c r="AA148" s="5">
        <f t="shared" si="16"/>
        <v>108.65853583757443</v>
      </c>
      <c r="AB148" s="5">
        <f t="shared" si="17"/>
        <v>7.0333333333333332</v>
      </c>
      <c r="AC148" s="5">
        <f t="shared" si="18"/>
        <v>16</v>
      </c>
      <c r="AD148" s="5">
        <f t="shared" si="19"/>
        <v>-2</v>
      </c>
      <c r="AE148" s="5" t="str">
        <f t="shared" si="20"/>
        <v>Surplus</v>
      </c>
    </row>
    <row r="149" spans="1:31" x14ac:dyDescent="0.25">
      <c r="A149" t="s">
        <v>480</v>
      </c>
      <c r="B149" s="2">
        <v>46021</v>
      </c>
      <c r="C149" t="s">
        <v>481</v>
      </c>
      <c r="D149" t="s">
        <v>216</v>
      </c>
      <c r="E149" t="s">
        <v>217</v>
      </c>
      <c r="F149" t="s">
        <v>49</v>
      </c>
      <c r="G149" t="s">
        <v>43</v>
      </c>
      <c r="H149" t="s">
        <v>50</v>
      </c>
      <c r="I149">
        <v>9</v>
      </c>
      <c r="J149">
        <v>21</v>
      </c>
      <c r="K149">
        <v>7</v>
      </c>
      <c r="L149">
        <v>14</v>
      </c>
      <c r="M149">
        <v>0</v>
      </c>
      <c r="N149">
        <v>21</v>
      </c>
      <c r="O149">
        <v>0</v>
      </c>
      <c r="P149">
        <v>45</v>
      </c>
      <c r="Q149">
        <v>8.25</v>
      </c>
      <c r="R149">
        <v>173.25</v>
      </c>
      <c r="S149">
        <v>22546</v>
      </c>
      <c r="T149">
        <v>22261</v>
      </c>
      <c r="U149">
        <v>674</v>
      </c>
      <c r="V149">
        <v>21587</v>
      </c>
      <c r="W149" s="3">
        <f t="shared" si="14"/>
        <v>124.60028860028861</v>
      </c>
      <c r="X149">
        <v>124.78240035826239</v>
      </c>
      <c r="Y149" s="3">
        <v>124.78240035826239</v>
      </c>
      <c r="Z149" s="4">
        <f t="shared" si="15"/>
        <v>0.99854056535656532</v>
      </c>
      <c r="AA149" s="5">
        <f t="shared" si="16"/>
        <v>180.68253163321305</v>
      </c>
      <c r="AB149" s="5">
        <f t="shared" si="17"/>
        <v>8.25</v>
      </c>
      <c r="AC149" s="5">
        <f t="shared" si="18"/>
        <v>22</v>
      </c>
      <c r="AD149" s="5">
        <f t="shared" si="19"/>
        <v>1</v>
      </c>
      <c r="AE149" s="5" t="str">
        <f t="shared" si="20"/>
        <v>Shortage</v>
      </c>
    </row>
    <row r="150" spans="1:31" x14ac:dyDescent="0.25">
      <c r="A150" t="s">
        <v>482</v>
      </c>
      <c r="B150" s="2">
        <v>46022</v>
      </c>
      <c r="C150" t="s">
        <v>483</v>
      </c>
      <c r="D150" t="s">
        <v>236</v>
      </c>
      <c r="E150" t="s">
        <v>237</v>
      </c>
      <c r="F150" t="s">
        <v>55</v>
      </c>
      <c r="G150" t="s">
        <v>43</v>
      </c>
      <c r="H150" t="s">
        <v>88</v>
      </c>
      <c r="I150">
        <v>8</v>
      </c>
      <c r="J150">
        <v>20</v>
      </c>
      <c r="K150">
        <v>6</v>
      </c>
      <c r="L150">
        <v>14</v>
      </c>
      <c r="M150">
        <v>0</v>
      </c>
      <c r="N150">
        <v>20</v>
      </c>
      <c r="O150">
        <v>3</v>
      </c>
      <c r="P150">
        <v>26</v>
      </c>
      <c r="Q150">
        <v>7.57</v>
      </c>
      <c r="R150">
        <v>151.4</v>
      </c>
      <c r="S150">
        <v>19650</v>
      </c>
      <c r="T150">
        <v>14771</v>
      </c>
      <c r="U150">
        <v>238</v>
      </c>
      <c r="V150">
        <v>14533</v>
      </c>
      <c r="W150" s="3">
        <f t="shared" si="14"/>
        <v>95.990752972258917</v>
      </c>
      <c r="X150">
        <v>109.38855294136761</v>
      </c>
      <c r="Y150" s="3">
        <v>109.38855294136761</v>
      </c>
      <c r="Z150" s="4">
        <f t="shared" si="15"/>
        <v>0.87752100554534329</v>
      </c>
      <c r="AA150" s="5">
        <f t="shared" si="16"/>
        <v>179.6348838304171</v>
      </c>
      <c r="AB150" s="5">
        <f t="shared" si="17"/>
        <v>7.5666666666666664</v>
      </c>
      <c r="AC150" s="5">
        <f t="shared" si="18"/>
        <v>24</v>
      </c>
      <c r="AD150" s="5">
        <f t="shared" si="19"/>
        <v>4</v>
      </c>
      <c r="AE150" s="5" t="str">
        <f t="shared" si="20"/>
        <v>Shortage</v>
      </c>
    </row>
    <row r="151" spans="1:31" x14ac:dyDescent="0.25">
      <c r="A151" t="s">
        <v>484</v>
      </c>
      <c r="B151" s="2">
        <v>46023</v>
      </c>
      <c r="C151" t="s">
        <v>485</v>
      </c>
      <c r="D151" t="s">
        <v>138</v>
      </c>
      <c r="E151" t="s">
        <v>139</v>
      </c>
      <c r="F151" t="s">
        <v>55</v>
      </c>
      <c r="G151" t="s">
        <v>43</v>
      </c>
      <c r="H151" t="s">
        <v>50</v>
      </c>
      <c r="I151">
        <v>9</v>
      </c>
      <c r="J151">
        <v>15</v>
      </c>
      <c r="K151">
        <v>5</v>
      </c>
      <c r="L151">
        <v>10</v>
      </c>
      <c r="M151">
        <v>0</v>
      </c>
      <c r="N151">
        <v>15</v>
      </c>
      <c r="O151">
        <v>0</v>
      </c>
      <c r="P151">
        <v>45</v>
      </c>
      <c r="Q151">
        <v>8.25</v>
      </c>
      <c r="R151">
        <v>123.75</v>
      </c>
      <c r="S151">
        <v>14638</v>
      </c>
      <c r="T151">
        <v>12312</v>
      </c>
      <c r="U151">
        <v>194</v>
      </c>
      <c r="V151">
        <v>12118</v>
      </c>
      <c r="W151" s="3">
        <f t="shared" si="14"/>
        <v>97.923232323232327</v>
      </c>
      <c r="X151">
        <v>109.38855294136761</v>
      </c>
      <c r="Y151" s="3">
        <v>109.38855294136761</v>
      </c>
      <c r="Z151" s="4">
        <f t="shared" si="15"/>
        <v>0.89518719911871669</v>
      </c>
      <c r="AA151" s="5">
        <f t="shared" si="16"/>
        <v>133.81656129820078</v>
      </c>
      <c r="AB151" s="5">
        <f t="shared" si="17"/>
        <v>8.25</v>
      </c>
      <c r="AC151" s="5">
        <f t="shared" si="18"/>
        <v>17</v>
      </c>
      <c r="AD151" s="5">
        <f t="shared" si="19"/>
        <v>2</v>
      </c>
      <c r="AE151" s="5" t="str">
        <f t="shared" si="20"/>
        <v>Shortage</v>
      </c>
    </row>
    <row r="152" spans="1:31" x14ac:dyDescent="0.25">
      <c r="A152" t="s">
        <v>486</v>
      </c>
      <c r="B152" s="2">
        <v>46024</v>
      </c>
      <c r="C152" t="s">
        <v>487</v>
      </c>
      <c r="D152" t="s">
        <v>152</v>
      </c>
      <c r="E152" t="s">
        <v>153</v>
      </c>
      <c r="F152" t="s">
        <v>42</v>
      </c>
      <c r="G152" t="s">
        <v>43</v>
      </c>
      <c r="H152" t="s">
        <v>44</v>
      </c>
      <c r="I152">
        <v>8</v>
      </c>
      <c r="J152">
        <v>18</v>
      </c>
      <c r="K152">
        <v>6</v>
      </c>
      <c r="L152">
        <v>12</v>
      </c>
      <c r="M152">
        <v>0</v>
      </c>
      <c r="N152">
        <v>18</v>
      </c>
      <c r="O152">
        <v>0</v>
      </c>
      <c r="P152">
        <v>54</v>
      </c>
      <c r="Q152">
        <v>7.1</v>
      </c>
      <c r="R152">
        <v>127.8</v>
      </c>
      <c r="S152">
        <v>18096</v>
      </c>
      <c r="T152">
        <v>14445</v>
      </c>
      <c r="U152">
        <v>303</v>
      </c>
      <c r="V152">
        <v>14142</v>
      </c>
      <c r="W152" s="3">
        <f t="shared" si="14"/>
        <v>110.65727699530517</v>
      </c>
      <c r="X152">
        <v>115.1855592022217</v>
      </c>
      <c r="Y152" s="3">
        <v>115.1855592022217</v>
      </c>
      <c r="Z152" s="4">
        <f t="shared" si="15"/>
        <v>0.96068706669239157</v>
      </c>
      <c r="AA152" s="5">
        <f t="shared" si="16"/>
        <v>157.10302684931503</v>
      </c>
      <c r="AB152" s="5">
        <f t="shared" si="17"/>
        <v>7.1</v>
      </c>
      <c r="AC152" s="5">
        <f t="shared" si="18"/>
        <v>23</v>
      </c>
      <c r="AD152" s="5">
        <f t="shared" si="19"/>
        <v>5</v>
      </c>
      <c r="AE152" s="5" t="str">
        <f t="shared" si="20"/>
        <v>Shortage</v>
      </c>
    </row>
    <row r="153" spans="1:31" x14ac:dyDescent="0.25">
      <c r="A153" t="s">
        <v>488</v>
      </c>
      <c r="B153" s="2">
        <v>46025</v>
      </c>
      <c r="C153" t="s">
        <v>489</v>
      </c>
      <c r="D153" t="s">
        <v>95</v>
      </c>
      <c r="E153" t="s">
        <v>96</v>
      </c>
      <c r="F153" t="s">
        <v>42</v>
      </c>
      <c r="G153" t="s">
        <v>36</v>
      </c>
      <c r="H153" t="s">
        <v>37</v>
      </c>
      <c r="I153">
        <v>8</v>
      </c>
      <c r="J153">
        <v>18</v>
      </c>
      <c r="K153">
        <v>8</v>
      </c>
      <c r="L153">
        <v>10</v>
      </c>
      <c r="M153">
        <v>0</v>
      </c>
      <c r="N153">
        <v>18</v>
      </c>
      <c r="O153">
        <v>3</v>
      </c>
      <c r="P153">
        <v>47</v>
      </c>
      <c r="Q153">
        <v>7.22</v>
      </c>
      <c r="R153">
        <v>129.96</v>
      </c>
      <c r="S153">
        <v>17778</v>
      </c>
      <c r="T153">
        <v>14447</v>
      </c>
      <c r="U153">
        <v>324</v>
      </c>
      <c r="V153">
        <v>14123</v>
      </c>
      <c r="W153" s="3">
        <f t="shared" si="14"/>
        <v>108.67189904586026</v>
      </c>
      <c r="X153">
        <v>112.98347693798689</v>
      </c>
      <c r="Y153" s="3">
        <v>112.98347693798689</v>
      </c>
      <c r="Z153" s="4">
        <f t="shared" si="15"/>
        <v>0.9618388634428986</v>
      </c>
      <c r="AA153" s="5">
        <f t="shared" si="16"/>
        <v>157.35044169120224</v>
      </c>
      <c r="AB153" s="5">
        <f t="shared" si="17"/>
        <v>7.2166666666666668</v>
      </c>
      <c r="AC153" s="5">
        <f t="shared" si="18"/>
        <v>22</v>
      </c>
      <c r="AD153" s="5">
        <f t="shared" si="19"/>
        <v>4</v>
      </c>
      <c r="AE153" s="5" t="str">
        <f t="shared" si="20"/>
        <v>Shortage</v>
      </c>
    </row>
    <row r="154" spans="1:31" x14ac:dyDescent="0.25">
      <c r="A154" t="s">
        <v>490</v>
      </c>
      <c r="B154" s="2">
        <v>46025</v>
      </c>
      <c r="C154" t="s">
        <v>491</v>
      </c>
      <c r="D154" t="s">
        <v>359</v>
      </c>
      <c r="E154" t="s">
        <v>360</v>
      </c>
      <c r="F154" t="s">
        <v>35</v>
      </c>
      <c r="G154" t="s">
        <v>36</v>
      </c>
      <c r="H154" t="s">
        <v>69</v>
      </c>
      <c r="I154">
        <v>8</v>
      </c>
      <c r="J154">
        <v>22</v>
      </c>
      <c r="K154">
        <v>8</v>
      </c>
      <c r="L154">
        <v>14</v>
      </c>
      <c r="M154">
        <v>1</v>
      </c>
      <c r="N154">
        <v>21</v>
      </c>
      <c r="O154">
        <v>2</v>
      </c>
      <c r="P154">
        <v>11</v>
      </c>
      <c r="Q154">
        <v>7.82</v>
      </c>
      <c r="R154">
        <v>164.22</v>
      </c>
      <c r="S154">
        <v>21324</v>
      </c>
      <c r="T154">
        <v>18580</v>
      </c>
      <c r="U154">
        <v>362</v>
      </c>
      <c r="V154">
        <v>18218</v>
      </c>
      <c r="W154" s="3">
        <f t="shared" si="14"/>
        <v>110.93654853245646</v>
      </c>
      <c r="X154">
        <v>114.1563708384419</v>
      </c>
      <c r="Y154" s="3">
        <v>114.1563708384419</v>
      </c>
      <c r="Z154" s="4">
        <f t="shared" si="15"/>
        <v>0.9717946332531695</v>
      </c>
      <c r="AA154" s="5">
        <f t="shared" si="16"/>
        <v>186.79640779907476</v>
      </c>
      <c r="AB154" s="5">
        <f t="shared" si="17"/>
        <v>7.8166666666666664</v>
      </c>
      <c r="AC154" s="5">
        <f t="shared" si="18"/>
        <v>24</v>
      </c>
      <c r="AD154" s="5">
        <f t="shared" si="19"/>
        <v>3</v>
      </c>
      <c r="AE154" s="5" t="str">
        <f t="shared" si="20"/>
        <v>Shortage</v>
      </c>
    </row>
    <row r="155" spans="1:31" x14ac:dyDescent="0.25">
      <c r="A155" t="s">
        <v>492</v>
      </c>
      <c r="B155" s="2">
        <v>46026</v>
      </c>
      <c r="C155" t="s">
        <v>493</v>
      </c>
      <c r="D155" t="s">
        <v>142</v>
      </c>
      <c r="E155" t="s">
        <v>143</v>
      </c>
      <c r="F155" t="s">
        <v>42</v>
      </c>
      <c r="G155" t="s">
        <v>43</v>
      </c>
      <c r="H155" t="s">
        <v>74</v>
      </c>
      <c r="I155">
        <v>9</v>
      </c>
      <c r="J155">
        <v>19</v>
      </c>
      <c r="K155">
        <v>7</v>
      </c>
      <c r="L155">
        <v>12</v>
      </c>
      <c r="M155">
        <v>2</v>
      </c>
      <c r="N155">
        <v>17</v>
      </c>
      <c r="O155">
        <v>2</v>
      </c>
      <c r="P155">
        <v>17</v>
      </c>
      <c r="Q155">
        <v>8.7200000000000006</v>
      </c>
      <c r="R155">
        <v>148.24</v>
      </c>
      <c r="S155">
        <v>18459</v>
      </c>
      <c r="T155">
        <v>14893</v>
      </c>
      <c r="U155">
        <v>125</v>
      </c>
      <c r="V155">
        <v>14768</v>
      </c>
      <c r="W155" s="3">
        <f t="shared" si="14"/>
        <v>99.622234214786829</v>
      </c>
      <c r="X155">
        <v>115.1855592022217</v>
      </c>
      <c r="Y155" s="3">
        <v>115.1855592022217</v>
      </c>
      <c r="Z155" s="4">
        <f t="shared" si="15"/>
        <v>0.86488475556114086</v>
      </c>
      <c r="AA155" s="5">
        <f t="shared" si="16"/>
        <v>160.25446356164377</v>
      </c>
      <c r="AB155" s="5">
        <f t="shared" si="17"/>
        <v>8.7166666666666668</v>
      </c>
      <c r="AC155" s="5">
        <f t="shared" si="18"/>
        <v>19</v>
      </c>
      <c r="AD155" s="5">
        <f t="shared" si="19"/>
        <v>2</v>
      </c>
      <c r="AE155" s="5" t="str">
        <f t="shared" si="20"/>
        <v>Shortage</v>
      </c>
    </row>
    <row r="156" spans="1:31" x14ac:dyDescent="0.25">
      <c r="A156" t="s">
        <v>494</v>
      </c>
      <c r="B156" s="2">
        <v>46027</v>
      </c>
      <c r="C156" t="s">
        <v>495</v>
      </c>
      <c r="D156" t="s">
        <v>53</v>
      </c>
      <c r="E156" t="s">
        <v>54</v>
      </c>
      <c r="F156" t="s">
        <v>42</v>
      </c>
      <c r="G156" t="s">
        <v>36</v>
      </c>
      <c r="H156" t="s">
        <v>69</v>
      </c>
      <c r="I156">
        <v>8</v>
      </c>
      <c r="J156">
        <v>20</v>
      </c>
      <c r="K156">
        <v>9</v>
      </c>
      <c r="L156">
        <v>11</v>
      </c>
      <c r="M156">
        <v>2</v>
      </c>
      <c r="N156">
        <v>18</v>
      </c>
      <c r="O156">
        <v>0</v>
      </c>
      <c r="P156">
        <v>23</v>
      </c>
      <c r="Q156">
        <v>7.62</v>
      </c>
      <c r="R156">
        <v>137.16</v>
      </c>
      <c r="S156">
        <v>17939</v>
      </c>
      <c r="T156">
        <v>14442</v>
      </c>
      <c r="U156">
        <v>414</v>
      </c>
      <c r="V156">
        <v>14028</v>
      </c>
      <c r="W156" s="3">
        <f t="shared" si="14"/>
        <v>102.27471566054244</v>
      </c>
      <c r="X156">
        <v>112.98347693798689</v>
      </c>
      <c r="Y156" s="3">
        <v>112.98347693798689</v>
      </c>
      <c r="Z156" s="4">
        <f t="shared" si="15"/>
        <v>0.90521834194107731</v>
      </c>
      <c r="AA156" s="5">
        <f t="shared" si="16"/>
        <v>158.77542881642913</v>
      </c>
      <c r="AB156" s="5">
        <f t="shared" si="17"/>
        <v>7.6166666666666663</v>
      </c>
      <c r="AC156" s="5">
        <f t="shared" si="18"/>
        <v>21</v>
      </c>
      <c r="AD156" s="5">
        <f t="shared" si="19"/>
        <v>3</v>
      </c>
      <c r="AE156" s="5" t="str">
        <f t="shared" si="20"/>
        <v>Shortage</v>
      </c>
    </row>
    <row r="157" spans="1:31" x14ac:dyDescent="0.25">
      <c r="A157" t="s">
        <v>496</v>
      </c>
      <c r="B157" s="2">
        <v>46027</v>
      </c>
      <c r="C157" t="s">
        <v>497</v>
      </c>
      <c r="D157" t="s">
        <v>86</v>
      </c>
      <c r="E157" t="s">
        <v>87</v>
      </c>
      <c r="F157" t="s">
        <v>42</v>
      </c>
      <c r="G157" t="s">
        <v>43</v>
      </c>
      <c r="H157" t="s">
        <v>37</v>
      </c>
      <c r="I157">
        <v>8</v>
      </c>
      <c r="J157">
        <v>22</v>
      </c>
      <c r="K157">
        <v>9</v>
      </c>
      <c r="L157">
        <v>13</v>
      </c>
      <c r="M157">
        <v>0</v>
      </c>
      <c r="N157">
        <v>22</v>
      </c>
      <c r="O157">
        <v>0</v>
      </c>
      <c r="P157">
        <v>15</v>
      </c>
      <c r="Q157">
        <v>7.75</v>
      </c>
      <c r="R157">
        <v>170.5</v>
      </c>
      <c r="S157">
        <v>22415</v>
      </c>
      <c r="T157">
        <v>17380</v>
      </c>
      <c r="U157">
        <v>451</v>
      </c>
      <c r="V157">
        <v>16929</v>
      </c>
      <c r="W157" s="3">
        <f t="shared" si="14"/>
        <v>99.290322580645167</v>
      </c>
      <c r="X157">
        <v>115.1855592022217</v>
      </c>
      <c r="Y157" s="3">
        <v>115.1855592022217</v>
      </c>
      <c r="Z157" s="4">
        <f t="shared" si="15"/>
        <v>0.86200321696862547</v>
      </c>
      <c r="AA157" s="5">
        <f t="shared" si="16"/>
        <v>194.59904657534241</v>
      </c>
      <c r="AB157" s="5">
        <f t="shared" si="17"/>
        <v>7.75</v>
      </c>
      <c r="AC157" s="5">
        <f t="shared" si="18"/>
        <v>26</v>
      </c>
      <c r="AD157" s="5">
        <f t="shared" si="19"/>
        <v>4</v>
      </c>
      <c r="AE157" s="5" t="str">
        <f t="shared" si="20"/>
        <v>Shortage</v>
      </c>
    </row>
    <row r="158" spans="1:31" x14ac:dyDescent="0.25">
      <c r="A158" t="s">
        <v>498</v>
      </c>
      <c r="B158" s="2">
        <v>46027</v>
      </c>
      <c r="C158" t="s">
        <v>499</v>
      </c>
      <c r="D158" t="s">
        <v>220</v>
      </c>
      <c r="E158" t="s">
        <v>221</v>
      </c>
      <c r="F158" t="s">
        <v>42</v>
      </c>
      <c r="G158" t="s">
        <v>79</v>
      </c>
      <c r="H158" t="s">
        <v>44</v>
      </c>
      <c r="I158">
        <v>8</v>
      </c>
      <c r="J158">
        <v>17</v>
      </c>
      <c r="K158">
        <v>7</v>
      </c>
      <c r="L158">
        <v>10</v>
      </c>
      <c r="M158">
        <v>0</v>
      </c>
      <c r="N158">
        <v>17</v>
      </c>
      <c r="O158">
        <v>0</v>
      </c>
      <c r="P158">
        <v>28</v>
      </c>
      <c r="Q158">
        <v>7.53</v>
      </c>
      <c r="R158">
        <v>128.01</v>
      </c>
      <c r="S158">
        <v>14250</v>
      </c>
      <c r="T158">
        <v>10338</v>
      </c>
      <c r="U158">
        <v>172</v>
      </c>
      <c r="V158">
        <v>10166</v>
      </c>
      <c r="W158" s="3">
        <f t="shared" si="14"/>
        <v>79.415670650730419</v>
      </c>
      <c r="X158">
        <v>99.399922570654283</v>
      </c>
      <c r="Y158" s="3">
        <v>99.399922570654283</v>
      </c>
      <c r="Z158" s="4">
        <f t="shared" si="15"/>
        <v>0.7989510313177669</v>
      </c>
      <c r="AA158" s="5">
        <f t="shared" si="16"/>
        <v>143.36027263875366</v>
      </c>
      <c r="AB158" s="5">
        <f t="shared" si="17"/>
        <v>7.5333333333333332</v>
      </c>
      <c r="AC158" s="5">
        <f t="shared" si="18"/>
        <v>20</v>
      </c>
      <c r="AD158" s="5">
        <f t="shared" si="19"/>
        <v>3</v>
      </c>
      <c r="AE158" s="5" t="str">
        <f t="shared" si="20"/>
        <v>Shortage</v>
      </c>
    </row>
    <row r="159" spans="1:31" x14ac:dyDescent="0.25">
      <c r="A159" t="s">
        <v>500</v>
      </c>
      <c r="B159" s="2">
        <v>46027</v>
      </c>
      <c r="C159" t="s">
        <v>501</v>
      </c>
      <c r="D159" t="s">
        <v>53</v>
      </c>
      <c r="E159" t="s">
        <v>54</v>
      </c>
      <c r="F159" t="s">
        <v>68</v>
      </c>
      <c r="G159" t="s">
        <v>79</v>
      </c>
      <c r="H159" t="s">
        <v>69</v>
      </c>
      <c r="I159">
        <v>8</v>
      </c>
      <c r="J159">
        <v>24</v>
      </c>
      <c r="K159">
        <v>9</v>
      </c>
      <c r="L159">
        <v>15</v>
      </c>
      <c r="M159">
        <v>1</v>
      </c>
      <c r="N159">
        <v>23</v>
      </c>
      <c r="O159">
        <v>0</v>
      </c>
      <c r="P159">
        <v>36</v>
      </c>
      <c r="Q159">
        <v>7.4</v>
      </c>
      <c r="R159">
        <v>170.2</v>
      </c>
      <c r="S159">
        <v>24438</v>
      </c>
      <c r="T159">
        <v>18061</v>
      </c>
      <c r="U159">
        <v>90</v>
      </c>
      <c r="V159">
        <v>17971</v>
      </c>
      <c r="W159" s="3">
        <f t="shared" si="14"/>
        <v>105.58754406580495</v>
      </c>
      <c r="X159">
        <v>114.6579540175248</v>
      </c>
      <c r="Y159" s="3">
        <v>114.6579540175248</v>
      </c>
      <c r="Z159" s="4">
        <f t="shared" si="15"/>
        <v>0.92089157678207401</v>
      </c>
      <c r="AA159" s="5">
        <f t="shared" si="16"/>
        <v>213.13828778302457</v>
      </c>
      <c r="AB159" s="5">
        <f t="shared" si="17"/>
        <v>7.4</v>
      </c>
      <c r="AC159" s="5">
        <f t="shared" si="18"/>
        <v>29</v>
      </c>
      <c r="AD159" s="5">
        <f t="shared" si="19"/>
        <v>6</v>
      </c>
      <c r="AE159" s="5" t="str">
        <f t="shared" si="20"/>
        <v>Shortage</v>
      </c>
    </row>
    <row r="160" spans="1:31" x14ac:dyDescent="0.25">
      <c r="A160" t="s">
        <v>502</v>
      </c>
      <c r="B160" s="2">
        <v>46029</v>
      </c>
      <c r="C160" t="s">
        <v>503</v>
      </c>
      <c r="D160" t="s">
        <v>182</v>
      </c>
      <c r="E160" t="s">
        <v>183</v>
      </c>
      <c r="F160" t="s">
        <v>35</v>
      </c>
      <c r="G160" t="s">
        <v>43</v>
      </c>
      <c r="H160" t="s">
        <v>88</v>
      </c>
      <c r="I160">
        <v>8</v>
      </c>
      <c r="J160">
        <v>23</v>
      </c>
      <c r="K160">
        <v>7</v>
      </c>
      <c r="L160">
        <v>16</v>
      </c>
      <c r="M160">
        <v>0</v>
      </c>
      <c r="N160">
        <v>23</v>
      </c>
      <c r="O160">
        <v>2</v>
      </c>
      <c r="P160">
        <v>34</v>
      </c>
      <c r="Q160">
        <v>7.43</v>
      </c>
      <c r="R160">
        <v>170.89</v>
      </c>
      <c r="S160">
        <v>21401</v>
      </c>
      <c r="T160">
        <v>18115</v>
      </c>
      <c r="U160">
        <v>321</v>
      </c>
      <c r="V160">
        <v>17794</v>
      </c>
      <c r="W160" s="3">
        <f t="shared" si="14"/>
        <v>104.12546082275149</v>
      </c>
      <c r="X160">
        <v>118.01656521145939</v>
      </c>
      <c r="Y160" s="3">
        <v>118.01656521145939</v>
      </c>
      <c r="Z160" s="4">
        <f t="shared" si="15"/>
        <v>0.88229530012318069</v>
      </c>
      <c r="AA160" s="5">
        <f t="shared" si="16"/>
        <v>181.33894984703355</v>
      </c>
      <c r="AB160" s="5">
        <f t="shared" si="17"/>
        <v>7.4333333333333336</v>
      </c>
      <c r="AC160" s="5">
        <f t="shared" si="18"/>
        <v>25</v>
      </c>
      <c r="AD160" s="5">
        <f t="shared" si="19"/>
        <v>2</v>
      </c>
      <c r="AE160" s="5" t="str">
        <f t="shared" si="20"/>
        <v>Shortage</v>
      </c>
    </row>
    <row r="161" spans="1:31" x14ac:dyDescent="0.25">
      <c r="A161" t="s">
        <v>504</v>
      </c>
      <c r="B161" s="2">
        <v>46029</v>
      </c>
      <c r="C161" t="s">
        <v>505</v>
      </c>
      <c r="D161" t="s">
        <v>293</v>
      </c>
      <c r="E161" t="s">
        <v>294</v>
      </c>
      <c r="F161" t="s">
        <v>42</v>
      </c>
      <c r="G161" t="s">
        <v>79</v>
      </c>
      <c r="H161" t="s">
        <v>50</v>
      </c>
      <c r="I161">
        <v>8</v>
      </c>
      <c r="J161">
        <v>13</v>
      </c>
      <c r="K161">
        <v>5</v>
      </c>
      <c r="L161">
        <v>8</v>
      </c>
      <c r="M161">
        <v>0</v>
      </c>
      <c r="N161">
        <v>13</v>
      </c>
      <c r="O161">
        <v>0</v>
      </c>
      <c r="P161">
        <v>34</v>
      </c>
      <c r="Q161">
        <v>7.43</v>
      </c>
      <c r="R161">
        <v>96.59</v>
      </c>
      <c r="S161">
        <v>11444</v>
      </c>
      <c r="T161">
        <v>9633</v>
      </c>
      <c r="U161">
        <v>248</v>
      </c>
      <c r="V161">
        <v>9385</v>
      </c>
      <c r="W161" s="3">
        <f t="shared" si="14"/>
        <v>97.163267418987473</v>
      </c>
      <c r="X161">
        <v>99.399922570654283</v>
      </c>
      <c r="Y161" s="3">
        <v>99.399922570654283</v>
      </c>
      <c r="Z161" s="4">
        <f t="shared" si="15"/>
        <v>0.9774984215900473</v>
      </c>
      <c r="AA161" s="5">
        <f t="shared" si="16"/>
        <v>115.13087439143135</v>
      </c>
      <c r="AB161" s="5">
        <f t="shared" si="17"/>
        <v>7.4333333333333336</v>
      </c>
      <c r="AC161" s="5">
        <f t="shared" si="18"/>
        <v>16</v>
      </c>
      <c r="AD161" s="5">
        <f t="shared" si="19"/>
        <v>3</v>
      </c>
      <c r="AE161" s="5" t="str">
        <f t="shared" si="20"/>
        <v>Shortage</v>
      </c>
    </row>
    <row r="162" spans="1:31" x14ac:dyDescent="0.25">
      <c r="A162" t="s">
        <v>506</v>
      </c>
      <c r="B162" s="2">
        <v>46030</v>
      </c>
      <c r="C162" t="s">
        <v>507</v>
      </c>
      <c r="D162" t="s">
        <v>355</v>
      </c>
      <c r="E162" t="s">
        <v>356</v>
      </c>
      <c r="F162" t="s">
        <v>42</v>
      </c>
      <c r="G162" t="s">
        <v>36</v>
      </c>
      <c r="H162" t="s">
        <v>37</v>
      </c>
      <c r="I162">
        <v>8</v>
      </c>
      <c r="J162">
        <v>16</v>
      </c>
      <c r="K162">
        <v>7</v>
      </c>
      <c r="L162">
        <v>9</v>
      </c>
      <c r="M162">
        <v>0</v>
      </c>
      <c r="N162">
        <v>16</v>
      </c>
      <c r="O162">
        <v>3</v>
      </c>
      <c r="P162">
        <v>14</v>
      </c>
      <c r="Q162">
        <v>7.77</v>
      </c>
      <c r="R162">
        <v>124.32</v>
      </c>
      <c r="S162">
        <v>15755</v>
      </c>
      <c r="T162">
        <v>14131</v>
      </c>
      <c r="U162">
        <v>391</v>
      </c>
      <c r="V162">
        <v>13740</v>
      </c>
      <c r="W162" s="3">
        <f t="shared" si="14"/>
        <v>110.52123552123552</v>
      </c>
      <c r="X162">
        <v>112.98347693798689</v>
      </c>
      <c r="Y162" s="3">
        <v>112.98347693798689</v>
      </c>
      <c r="Z162" s="4">
        <f t="shared" si="15"/>
        <v>0.97820706634738441</v>
      </c>
      <c r="AA162" s="5">
        <f t="shared" si="16"/>
        <v>139.4451686829166</v>
      </c>
      <c r="AB162" s="5">
        <f t="shared" si="17"/>
        <v>7.7666666666666666</v>
      </c>
      <c r="AC162" s="5">
        <f t="shared" si="18"/>
        <v>18</v>
      </c>
      <c r="AD162" s="5">
        <f t="shared" si="19"/>
        <v>2</v>
      </c>
      <c r="AE162" s="5" t="str">
        <f t="shared" si="20"/>
        <v>Shortage</v>
      </c>
    </row>
    <row r="163" spans="1:31" x14ac:dyDescent="0.25">
      <c r="A163" t="s">
        <v>508</v>
      </c>
      <c r="B163" s="2">
        <v>46030</v>
      </c>
      <c r="C163" t="s">
        <v>509</v>
      </c>
      <c r="D163" t="s">
        <v>216</v>
      </c>
      <c r="E163" t="s">
        <v>217</v>
      </c>
      <c r="F163" t="s">
        <v>68</v>
      </c>
      <c r="G163" t="s">
        <v>79</v>
      </c>
      <c r="H163" t="s">
        <v>50</v>
      </c>
      <c r="I163">
        <v>8</v>
      </c>
      <c r="J163">
        <v>24</v>
      </c>
      <c r="K163">
        <v>11</v>
      </c>
      <c r="L163">
        <v>13</v>
      </c>
      <c r="M163">
        <v>0</v>
      </c>
      <c r="N163">
        <v>24</v>
      </c>
      <c r="O163">
        <v>1</v>
      </c>
      <c r="P163">
        <v>27</v>
      </c>
      <c r="Q163">
        <v>7.55</v>
      </c>
      <c r="R163">
        <v>181.2</v>
      </c>
      <c r="S163">
        <v>23374</v>
      </c>
      <c r="T163">
        <v>19578</v>
      </c>
      <c r="U163">
        <v>647</v>
      </c>
      <c r="V163">
        <v>18931</v>
      </c>
      <c r="W163" s="3">
        <f t="shared" si="14"/>
        <v>104.4757174392936</v>
      </c>
      <c r="X163">
        <v>114.6579540175248</v>
      </c>
      <c r="Y163" s="3">
        <v>114.6579540175248</v>
      </c>
      <c r="Z163" s="4">
        <f t="shared" si="15"/>
        <v>0.91119467754784023</v>
      </c>
      <c r="AA163" s="5">
        <f t="shared" si="16"/>
        <v>203.85851291596762</v>
      </c>
      <c r="AB163" s="5">
        <f t="shared" si="17"/>
        <v>7.55</v>
      </c>
      <c r="AC163" s="5">
        <f t="shared" si="18"/>
        <v>28</v>
      </c>
      <c r="AD163" s="5">
        <f t="shared" si="19"/>
        <v>4</v>
      </c>
      <c r="AE163" s="5" t="str">
        <f t="shared" si="20"/>
        <v>Shortage</v>
      </c>
    </row>
    <row r="164" spans="1:31" x14ac:dyDescent="0.25">
      <c r="A164" t="s">
        <v>510</v>
      </c>
      <c r="B164" s="2">
        <v>46031</v>
      </c>
      <c r="C164" t="s">
        <v>511</v>
      </c>
      <c r="D164" t="s">
        <v>193</v>
      </c>
      <c r="E164" t="s">
        <v>135</v>
      </c>
      <c r="F164" t="s">
        <v>49</v>
      </c>
      <c r="G164" t="s">
        <v>36</v>
      </c>
      <c r="H164" t="s">
        <v>69</v>
      </c>
      <c r="I164">
        <v>8</v>
      </c>
      <c r="J164">
        <v>20</v>
      </c>
      <c r="K164">
        <v>7</v>
      </c>
      <c r="L164">
        <v>13</v>
      </c>
      <c r="M164">
        <v>1</v>
      </c>
      <c r="N164">
        <v>19</v>
      </c>
      <c r="O164">
        <v>3</v>
      </c>
      <c r="P164">
        <v>36</v>
      </c>
      <c r="Q164">
        <v>7.4</v>
      </c>
      <c r="R164">
        <v>140.6</v>
      </c>
      <c r="S164">
        <v>18781</v>
      </c>
      <c r="T164">
        <v>16328</v>
      </c>
      <c r="U164">
        <v>266</v>
      </c>
      <c r="V164">
        <v>16062</v>
      </c>
      <c r="W164" s="3">
        <f t="shared" si="14"/>
        <v>114.23897581792319</v>
      </c>
      <c r="X164">
        <v>118.4084783141387</v>
      </c>
      <c r="Y164" s="3">
        <v>118.4084783141387</v>
      </c>
      <c r="Z164" s="4">
        <f t="shared" si="15"/>
        <v>0.96478712879702933</v>
      </c>
      <c r="AA164" s="5">
        <f t="shared" si="16"/>
        <v>158.61195302395362</v>
      </c>
      <c r="AB164" s="5">
        <f t="shared" si="17"/>
        <v>7.4</v>
      </c>
      <c r="AC164" s="5">
        <f t="shared" si="18"/>
        <v>22</v>
      </c>
      <c r="AD164" s="5">
        <f t="shared" si="19"/>
        <v>3</v>
      </c>
      <c r="AE164" s="5" t="str">
        <f t="shared" si="20"/>
        <v>Shortage</v>
      </c>
    </row>
    <row r="165" spans="1:31" x14ac:dyDescent="0.25">
      <c r="A165" t="s">
        <v>512</v>
      </c>
      <c r="B165" s="2">
        <v>46032</v>
      </c>
      <c r="C165" t="s">
        <v>513</v>
      </c>
      <c r="D165" t="s">
        <v>402</v>
      </c>
      <c r="E165" t="s">
        <v>403</v>
      </c>
      <c r="F165" t="s">
        <v>55</v>
      </c>
      <c r="G165" t="s">
        <v>36</v>
      </c>
      <c r="H165" t="s">
        <v>37</v>
      </c>
      <c r="I165">
        <v>10</v>
      </c>
      <c r="J165">
        <v>16</v>
      </c>
      <c r="K165">
        <v>8</v>
      </c>
      <c r="L165">
        <v>8</v>
      </c>
      <c r="M165">
        <v>0</v>
      </c>
      <c r="N165">
        <v>16</v>
      </c>
      <c r="O165">
        <v>1</v>
      </c>
      <c r="P165">
        <v>59</v>
      </c>
      <c r="Q165">
        <v>9.02</v>
      </c>
      <c r="R165">
        <v>144.32</v>
      </c>
      <c r="S165">
        <v>17429</v>
      </c>
      <c r="T165">
        <v>15079</v>
      </c>
      <c r="U165">
        <v>716</v>
      </c>
      <c r="V165">
        <v>14363</v>
      </c>
      <c r="W165" s="3">
        <f t="shared" si="14"/>
        <v>99.521895787139698</v>
      </c>
      <c r="X165">
        <v>108.32817332835501</v>
      </c>
      <c r="Y165" s="3">
        <v>108.32817332835501</v>
      </c>
      <c r="Z165" s="4">
        <f t="shared" si="15"/>
        <v>0.91870741220271035</v>
      </c>
      <c r="AA165" s="5">
        <f t="shared" si="16"/>
        <v>160.89074028019212</v>
      </c>
      <c r="AB165" s="5">
        <f t="shared" si="17"/>
        <v>9.0166666666666675</v>
      </c>
      <c r="AC165" s="5">
        <f t="shared" si="18"/>
        <v>18</v>
      </c>
      <c r="AD165" s="5">
        <f t="shared" si="19"/>
        <v>2</v>
      </c>
      <c r="AE165" s="5" t="str">
        <f t="shared" si="20"/>
        <v>Shortage</v>
      </c>
    </row>
    <row r="166" spans="1:31" x14ac:dyDescent="0.25">
      <c r="A166" t="s">
        <v>514</v>
      </c>
      <c r="B166" s="2">
        <v>46032</v>
      </c>
      <c r="C166" t="s">
        <v>515</v>
      </c>
      <c r="D166" t="s">
        <v>516</v>
      </c>
      <c r="E166" t="s">
        <v>517</v>
      </c>
      <c r="F166" t="s">
        <v>68</v>
      </c>
      <c r="G166" t="s">
        <v>36</v>
      </c>
      <c r="H166" t="s">
        <v>74</v>
      </c>
      <c r="I166">
        <v>8</v>
      </c>
      <c r="J166">
        <v>26</v>
      </c>
      <c r="K166">
        <v>9</v>
      </c>
      <c r="L166">
        <v>17</v>
      </c>
      <c r="M166">
        <v>1</v>
      </c>
      <c r="N166">
        <v>25</v>
      </c>
      <c r="O166">
        <v>0</v>
      </c>
      <c r="P166">
        <v>13</v>
      </c>
      <c r="Q166">
        <v>7.78</v>
      </c>
      <c r="R166">
        <v>194.5</v>
      </c>
      <c r="S166">
        <v>26492</v>
      </c>
      <c r="T166">
        <v>21117</v>
      </c>
      <c r="U166">
        <v>501</v>
      </c>
      <c r="V166">
        <v>20616</v>
      </c>
      <c r="W166" s="3">
        <f t="shared" si="14"/>
        <v>105.99485861182519</v>
      </c>
      <c r="X166">
        <v>120.8174989437542</v>
      </c>
      <c r="Y166" s="3">
        <v>120.8174989437542</v>
      </c>
      <c r="Z166" s="4">
        <f t="shared" si="15"/>
        <v>0.87731379591933456</v>
      </c>
      <c r="AA166" s="5">
        <f t="shared" si="16"/>
        <v>219.27287215516006</v>
      </c>
      <c r="AB166" s="5">
        <f t="shared" si="17"/>
        <v>7.7833333333333332</v>
      </c>
      <c r="AC166" s="5">
        <f t="shared" si="18"/>
        <v>29</v>
      </c>
      <c r="AD166" s="5">
        <f t="shared" si="19"/>
        <v>4</v>
      </c>
      <c r="AE166" s="5" t="str">
        <f t="shared" si="20"/>
        <v>Shortage</v>
      </c>
    </row>
    <row r="167" spans="1:31" x14ac:dyDescent="0.25">
      <c r="A167" t="s">
        <v>518</v>
      </c>
      <c r="B167" s="2">
        <v>46032</v>
      </c>
      <c r="C167" t="s">
        <v>519</v>
      </c>
      <c r="D167" t="s">
        <v>53</v>
      </c>
      <c r="E167" t="s">
        <v>54</v>
      </c>
      <c r="F167" t="s">
        <v>49</v>
      </c>
      <c r="G167" t="s">
        <v>43</v>
      </c>
      <c r="H167" t="s">
        <v>69</v>
      </c>
      <c r="I167">
        <v>9</v>
      </c>
      <c r="J167">
        <v>21</v>
      </c>
      <c r="K167">
        <v>9</v>
      </c>
      <c r="L167">
        <v>12</v>
      </c>
      <c r="M167">
        <v>2</v>
      </c>
      <c r="N167">
        <v>19</v>
      </c>
      <c r="O167">
        <v>3</v>
      </c>
      <c r="P167">
        <v>39</v>
      </c>
      <c r="Q167">
        <v>8.35</v>
      </c>
      <c r="R167">
        <v>158.65</v>
      </c>
      <c r="S167">
        <v>24852</v>
      </c>
      <c r="T167">
        <v>21865</v>
      </c>
      <c r="U167">
        <v>523</v>
      </c>
      <c r="V167">
        <v>21342</v>
      </c>
      <c r="W167" s="3">
        <f t="shared" si="14"/>
        <v>134.5225338796092</v>
      </c>
      <c r="X167">
        <v>124.78240035826239</v>
      </c>
      <c r="Y167" s="3">
        <v>124.78240035826239</v>
      </c>
      <c r="Z167" s="4">
        <f t="shared" si="15"/>
        <v>1.0780569494847185</v>
      </c>
      <c r="AA167" s="5">
        <f t="shared" si="16"/>
        <v>199.16270186057884</v>
      </c>
      <c r="AB167" s="5">
        <f t="shared" si="17"/>
        <v>8.35</v>
      </c>
      <c r="AC167" s="5">
        <f t="shared" si="18"/>
        <v>24</v>
      </c>
      <c r="AD167" s="5">
        <f t="shared" si="19"/>
        <v>5</v>
      </c>
      <c r="AE167" s="5" t="str">
        <f t="shared" si="20"/>
        <v>Shortage</v>
      </c>
    </row>
    <row r="168" spans="1:31" x14ac:dyDescent="0.25">
      <c r="A168" t="s">
        <v>520</v>
      </c>
      <c r="B168" s="2">
        <v>46032</v>
      </c>
      <c r="C168" t="s">
        <v>521</v>
      </c>
      <c r="D168" t="s">
        <v>522</v>
      </c>
      <c r="E168" t="s">
        <v>523</v>
      </c>
      <c r="F168" t="s">
        <v>35</v>
      </c>
      <c r="G168" t="s">
        <v>43</v>
      </c>
      <c r="H168" t="s">
        <v>88</v>
      </c>
      <c r="I168">
        <v>8</v>
      </c>
      <c r="J168">
        <v>23</v>
      </c>
      <c r="K168">
        <v>10</v>
      </c>
      <c r="L168">
        <v>13</v>
      </c>
      <c r="M168">
        <v>0</v>
      </c>
      <c r="N168">
        <v>23</v>
      </c>
      <c r="O168">
        <v>1</v>
      </c>
      <c r="P168">
        <v>48</v>
      </c>
      <c r="Q168">
        <v>7.2</v>
      </c>
      <c r="R168">
        <v>165.6</v>
      </c>
      <c r="S168">
        <v>21805</v>
      </c>
      <c r="T168">
        <v>20470</v>
      </c>
      <c r="U168">
        <v>386</v>
      </c>
      <c r="V168">
        <v>20084</v>
      </c>
      <c r="W168" s="3">
        <f t="shared" si="14"/>
        <v>121.28019323671498</v>
      </c>
      <c r="X168">
        <v>118.01656521145939</v>
      </c>
      <c r="Y168" s="3">
        <v>118.01656521145939</v>
      </c>
      <c r="Z168" s="4">
        <f t="shared" si="15"/>
        <v>1.0276539824676976</v>
      </c>
      <c r="AA168" s="5">
        <f t="shared" si="16"/>
        <v>184.76219809422767</v>
      </c>
      <c r="AB168" s="5">
        <f t="shared" si="17"/>
        <v>7.2</v>
      </c>
      <c r="AC168" s="5">
        <f t="shared" si="18"/>
        <v>26</v>
      </c>
      <c r="AD168" s="5">
        <f t="shared" si="19"/>
        <v>3</v>
      </c>
      <c r="AE168" s="5" t="str">
        <f t="shared" si="20"/>
        <v>Shortage</v>
      </c>
    </row>
    <row r="169" spans="1:31" x14ac:dyDescent="0.25">
      <c r="A169" t="s">
        <v>524</v>
      </c>
      <c r="B169" s="2">
        <v>46032</v>
      </c>
      <c r="C169" t="s">
        <v>525</v>
      </c>
      <c r="D169" t="s">
        <v>82</v>
      </c>
      <c r="E169" t="s">
        <v>83</v>
      </c>
      <c r="F169" t="s">
        <v>49</v>
      </c>
      <c r="G169" t="s">
        <v>79</v>
      </c>
      <c r="H169" t="s">
        <v>44</v>
      </c>
      <c r="I169">
        <v>8</v>
      </c>
      <c r="J169">
        <v>21</v>
      </c>
      <c r="K169">
        <v>10</v>
      </c>
      <c r="L169">
        <v>11</v>
      </c>
      <c r="M169">
        <v>0</v>
      </c>
      <c r="N169">
        <v>21</v>
      </c>
      <c r="O169">
        <v>3</v>
      </c>
      <c r="P169">
        <v>33</v>
      </c>
      <c r="Q169">
        <v>7.45</v>
      </c>
      <c r="R169">
        <v>156.44999999999999</v>
      </c>
      <c r="S169">
        <v>14838</v>
      </c>
      <c r="T169">
        <v>14851</v>
      </c>
      <c r="U169">
        <v>306</v>
      </c>
      <c r="V169">
        <v>14545</v>
      </c>
      <c r="W169" s="3">
        <f t="shared" si="14"/>
        <v>92.968999680409084</v>
      </c>
      <c r="X169">
        <v>107.36289227751951</v>
      </c>
      <c r="Y169" s="3">
        <v>107.36289227751951</v>
      </c>
      <c r="Z169" s="4">
        <f t="shared" si="15"/>
        <v>0.86593233200253183</v>
      </c>
      <c r="AA169" s="5">
        <f t="shared" si="16"/>
        <v>138.20417543936546</v>
      </c>
      <c r="AB169" s="5">
        <f t="shared" si="17"/>
        <v>7.45</v>
      </c>
      <c r="AC169" s="5">
        <f t="shared" si="18"/>
        <v>19</v>
      </c>
      <c r="AD169" s="5">
        <f t="shared" si="19"/>
        <v>-2</v>
      </c>
      <c r="AE169" s="5" t="str">
        <f t="shared" si="20"/>
        <v>Surplus</v>
      </c>
    </row>
    <row r="170" spans="1:31" x14ac:dyDescent="0.25">
      <c r="A170" t="s">
        <v>526</v>
      </c>
      <c r="B170" s="2">
        <v>46034</v>
      </c>
      <c r="C170" t="s">
        <v>527</v>
      </c>
      <c r="D170" t="s">
        <v>528</v>
      </c>
      <c r="E170" t="s">
        <v>529</v>
      </c>
      <c r="F170" t="s">
        <v>68</v>
      </c>
      <c r="G170" t="s">
        <v>36</v>
      </c>
      <c r="H170" t="s">
        <v>88</v>
      </c>
      <c r="I170">
        <v>10</v>
      </c>
      <c r="J170">
        <v>27</v>
      </c>
      <c r="K170">
        <v>13</v>
      </c>
      <c r="L170">
        <v>14</v>
      </c>
      <c r="M170">
        <v>0</v>
      </c>
      <c r="N170">
        <v>27</v>
      </c>
      <c r="O170">
        <v>2</v>
      </c>
      <c r="P170">
        <v>20</v>
      </c>
      <c r="Q170">
        <v>9.67</v>
      </c>
      <c r="R170">
        <v>261.08999999999997</v>
      </c>
      <c r="S170">
        <v>35556</v>
      </c>
      <c r="T170">
        <v>35843</v>
      </c>
      <c r="U170">
        <v>1166</v>
      </c>
      <c r="V170">
        <v>34677</v>
      </c>
      <c r="W170" s="3">
        <f t="shared" si="14"/>
        <v>132.81627025163738</v>
      </c>
      <c r="X170">
        <v>120.8174989437542</v>
      </c>
      <c r="Y170" s="3">
        <v>120.8174989437542</v>
      </c>
      <c r="Z170" s="4">
        <f t="shared" si="15"/>
        <v>1.0993131906618023</v>
      </c>
      <c r="AA170" s="5">
        <f t="shared" si="16"/>
        <v>294.29511710512122</v>
      </c>
      <c r="AB170" s="5">
        <f t="shared" si="17"/>
        <v>9.6666666666666661</v>
      </c>
      <c r="AC170" s="5">
        <f t="shared" si="18"/>
        <v>31</v>
      </c>
      <c r="AD170" s="5">
        <f t="shared" si="19"/>
        <v>4</v>
      </c>
      <c r="AE170" s="5" t="str">
        <f t="shared" si="20"/>
        <v>Shortage</v>
      </c>
    </row>
    <row r="171" spans="1:31" x14ac:dyDescent="0.25">
      <c r="A171" t="s">
        <v>530</v>
      </c>
      <c r="B171" s="2">
        <v>46034</v>
      </c>
      <c r="C171" t="s">
        <v>531</v>
      </c>
      <c r="D171" t="s">
        <v>275</v>
      </c>
      <c r="E171" t="s">
        <v>276</v>
      </c>
      <c r="F171" t="s">
        <v>68</v>
      </c>
      <c r="G171" t="s">
        <v>79</v>
      </c>
      <c r="H171" t="s">
        <v>44</v>
      </c>
      <c r="I171">
        <v>9</v>
      </c>
      <c r="J171">
        <v>21</v>
      </c>
      <c r="K171">
        <v>8</v>
      </c>
      <c r="L171">
        <v>13</v>
      </c>
      <c r="M171">
        <v>0</v>
      </c>
      <c r="N171">
        <v>21</v>
      </c>
      <c r="O171">
        <v>1</v>
      </c>
      <c r="P171">
        <v>9</v>
      </c>
      <c r="Q171">
        <v>8.85</v>
      </c>
      <c r="R171">
        <v>185.85</v>
      </c>
      <c r="S171">
        <v>24897</v>
      </c>
      <c r="T171">
        <v>22301</v>
      </c>
      <c r="U171">
        <v>1043</v>
      </c>
      <c r="V171">
        <v>21258</v>
      </c>
      <c r="W171" s="3">
        <f t="shared" si="14"/>
        <v>114.38256658595643</v>
      </c>
      <c r="X171">
        <v>114.6579540175248</v>
      </c>
      <c r="Y171" s="3">
        <v>114.6579540175248</v>
      </c>
      <c r="Z171" s="4">
        <f t="shared" si="15"/>
        <v>0.99759818292653046</v>
      </c>
      <c r="AA171" s="5">
        <f t="shared" si="16"/>
        <v>217.14149893338092</v>
      </c>
      <c r="AB171" s="5">
        <f t="shared" si="17"/>
        <v>8.85</v>
      </c>
      <c r="AC171" s="5">
        <f t="shared" si="18"/>
        <v>25</v>
      </c>
      <c r="AD171" s="5">
        <f t="shared" si="19"/>
        <v>4</v>
      </c>
      <c r="AE171" s="5" t="str">
        <f t="shared" si="20"/>
        <v>Shortage</v>
      </c>
    </row>
    <row r="172" spans="1:31" x14ac:dyDescent="0.25">
      <c r="A172" t="s">
        <v>532</v>
      </c>
      <c r="B172" s="2">
        <v>46035</v>
      </c>
      <c r="C172" t="s">
        <v>533</v>
      </c>
      <c r="D172" t="s">
        <v>275</v>
      </c>
      <c r="E172" t="s">
        <v>276</v>
      </c>
      <c r="F172" t="s">
        <v>68</v>
      </c>
      <c r="G172" t="s">
        <v>36</v>
      </c>
      <c r="H172" t="s">
        <v>44</v>
      </c>
      <c r="I172">
        <v>8</v>
      </c>
      <c r="J172">
        <v>23</v>
      </c>
      <c r="K172">
        <v>9</v>
      </c>
      <c r="L172">
        <v>14</v>
      </c>
      <c r="M172">
        <v>0</v>
      </c>
      <c r="N172">
        <v>23</v>
      </c>
      <c r="O172">
        <v>1</v>
      </c>
      <c r="P172">
        <v>8</v>
      </c>
      <c r="Q172">
        <v>7.87</v>
      </c>
      <c r="R172">
        <v>181.01</v>
      </c>
      <c r="S172">
        <v>26278</v>
      </c>
      <c r="T172">
        <v>21965</v>
      </c>
      <c r="U172">
        <v>609</v>
      </c>
      <c r="V172">
        <v>21356</v>
      </c>
      <c r="W172" s="3">
        <f t="shared" si="14"/>
        <v>117.98243190983924</v>
      </c>
      <c r="X172">
        <v>120.8174989437542</v>
      </c>
      <c r="Y172" s="3">
        <v>120.8174989437542</v>
      </c>
      <c r="Z172" s="4">
        <f t="shared" si="15"/>
        <v>0.97653430125022855</v>
      </c>
      <c r="AA172" s="5">
        <f t="shared" si="16"/>
        <v>217.50160555991604</v>
      </c>
      <c r="AB172" s="5">
        <f t="shared" si="17"/>
        <v>7.8666666666666663</v>
      </c>
      <c r="AC172" s="5">
        <f t="shared" si="18"/>
        <v>28</v>
      </c>
      <c r="AD172" s="5">
        <f t="shared" si="19"/>
        <v>5</v>
      </c>
      <c r="AE172" s="5" t="str">
        <f t="shared" si="20"/>
        <v>Shortage</v>
      </c>
    </row>
    <row r="173" spans="1:31" x14ac:dyDescent="0.25">
      <c r="A173" t="s">
        <v>534</v>
      </c>
      <c r="B173" s="2">
        <v>46036</v>
      </c>
      <c r="C173" t="s">
        <v>535</v>
      </c>
      <c r="D173" t="s">
        <v>395</v>
      </c>
      <c r="E173" t="s">
        <v>143</v>
      </c>
      <c r="F173" t="s">
        <v>42</v>
      </c>
      <c r="G173" t="s">
        <v>36</v>
      </c>
      <c r="H173" t="s">
        <v>37</v>
      </c>
      <c r="I173">
        <v>8</v>
      </c>
      <c r="J173">
        <v>20</v>
      </c>
      <c r="K173">
        <v>8</v>
      </c>
      <c r="L173">
        <v>12</v>
      </c>
      <c r="M173">
        <v>1</v>
      </c>
      <c r="N173">
        <v>19</v>
      </c>
      <c r="O173">
        <v>0</v>
      </c>
      <c r="P173">
        <v>59</v>
      </c>
      <c r="Q173">
        <v>7.02</v>
      </c>
      <c r="R173">
        <v>133.38</v>
      </c>
      <c r="S173">
        <v>17691</v>
      </c>
      <c r="T173">
        <v>13114</v>
      </c>
      <c r="U173">
        <v>144</v>
      </c>
      <c r="V173">
        <v>12970</v>
      </c>
      <c r="W173" s="3">
        <f t="shared" si="14"/>
        <v>97.240965662018297</v>
      </c>
      <c r="X173">
        <v>112.98347693798689</v>
      </c>
      <c r="Y173" s="3">
        <v>112.98347693798689</v>
      </c>
      <c r="Z173" s="4">
        <f t="shared" si="15"/>
        <v>0.86066536716152597</v>
      </c>
      <c r="AA173" s="5">
        <f t="shared" si="16"/>
        <v>156.58041759247715</v>
      </c>
      <c r="AB173" s="5">
        <f t="shared" si="17"/>
        <v>7.0166666666666666</v>
      </c>
      <c r="AC173" s="5">
        <f t="shared" si="18"/>
        <v>23</v>
      </c>
      <c r="AD173" s="5">
        <f t="shared" si="19"/>
        <v>4</v>
      </c>
      <c r="AE173" s="5" t="str">
        <f t="shared" si="20"/>
        <v>Shortage</v>
      </c>
    </row>
    <row r="174" spans="1:31" x14ac:dyDescent="0.25">
      <c r="A174" t="s">
        <v>536</v>
      </c>
      <c r="B174" s="2">
        <v>46036</v>
      </c>
      <c r="C174" t="s">
        <v>537</v>
      </c>
      <c r="D174" t="s">
        <v>160</v>
      </c>
      <c r="E174" t="s">
        <v>161</v>
      </c>
      <c r="F174" t="s">
        <v>49</v>
      </c>
      <c r="G174" t="s">
        <v>43</v>
      </c>
      <c r="H174" t="s">
        <v>37</v>
      </c>
      <c r="I174">
        <v>9</v>
      </c>
      <c r="J174">
        <v>22</v>
      </c>
      <c r="K174">
        <v>8</v>
      </c>
      <c r="L174">
        <v>14</v>
      </c>
      <c r="M174">
        <v>0</v>
      </c>
      <c r="N174">
        <v>22</v>
      </c>
      <c r="O174">
        <v>2</v>
      </c>
      <c r="P174">
        <v>41</v>
      </c>
      <c r="Q174">
        <v>8.32</v>
      </c>
      <c r="R174">
        <v>183.04</v>
      </c>
      <c r="S174">
        <v>27742</v>
      </c>
      <c r="T174">
        <v>25390</v>
      </c>
      <c r="U174">
        <v>730</v>
      </c>
      <c r="V174">
        <v>24660</v>
      </c>
      <c r="W174" s="3">
        <f t="shared" si="14"/>
        <v>134.72465034965035</v>
      </c>
      <c r="X174">
        <v>124.78240035826239</v>
      </c>
      <c r="Y174" s="3">
        <v>124.78240035826239</v>
      </c>
      <c r="Z174" s="4">
        <f t="shared" si="15"/>
        <v>1.0796767009036754</v>
      </c>
      <c r="AA174" s="5">
        <f t="shared" si="16"/>
        <v>222.32301927475368</v>
      </c>
      <c r="AB174" s="5">
        <f t="shared" si="17"/>
        <v>8.3166666666666664</v>
      </c>
      <c r="AC174" s="5">
        <f t="shared" si="18"/>
        <v>27</v>
      </c>
      <c r="AD174" s="5">
        <f t="shared" si="19"/>
        <v>5</v>
      </c>
      <c r="AE174" s="5" t="str">
        <f t="shared" si="20"/>
        <v>Shortage</v>
      </c>
    </row>
    <row r="175" spans="1:31" x14ac:dyDescent="0.25">
      <c r="A175" t="s">
        <v>538</v>
      </c>
      <c r="B175" s="2">
        <v>46037</v>
      </c>
      <c r="C175" t="s">
        <v>539</v>
      </c>
      <c r="D175" t="s">
        <v>152</v>
      </c>
      <c r="E175" t="s">
        <v>153</v>
      </c>
      <c r="F175" t="s">
        <v>49</v>
      </c>
      <c r="G175" t="s">
        <v>43</v>
      </c>
      <c r="H175" t="s">
        <v>88</v>
      </c>
      <c r="I175">
        <v>9</v>
      </c>
      <c r="J175">
        <v>21</v>
      </c>
      <c r="K175">
        <v>10</v>
      </c>
      <c r="L175">
        <v>11</v>
      </c>
      <c r="M175">
        <v>0</v>
      </c>
      <c r="N175">
        <v>21</v>
      </c>
      <c r="O175">
        <v>1</v>
      </c>
      <c r="P175">
        <v>32</v>
      </c>
      <c r="Q175">
        <v>8.4700000000000006</v>
      </c>
      <c r="R175">
        <v>177.87</v>
      </c>
      <c r="S175">
        <v>23414</v>
      </c>
      <c r="T175">
        <v>20908</v>
      </c>
      <c r="U175">
        <v>409</v>
      </c>
      <c r="V175">
        <v>20499</v>
      </c>
      <c r="W175" s="3">
        <f t="shared" si="14"/>
        <v>115.2470905717659</v>
      </c>
      <c r="X175">
        <v>124.78240035826239</v>
      </c>
      <c r="Y175" s="3">
        <v>124.78240035826239</v>
      </c>
      <c r="Z175" s="4">
        <f t="shared" si="15"/>
        <v>0.92358449782084895</v>
      </c>
      <c r="AA175" s="5">
        <f t="shared" si="16"/>
        <v>187.63864080812783</v>
      </c>
      <c r="AB175" s="5">
        <f t="shared" si="17"/>
        <v>8.4666666666666668</v>
      </c>
      <c r="AC175" s="5">
        <f t="shared" si="18"/>
        <v>23</v>
      </c>
      <c r="AD175" s="5">
        <f t="shared" si="19"/>
        <v>2</v>
      </c>
      <c r="AE175" s="5" t="str">
        <f t="shared" si="20"/>
        <v>Shortage</v>
      </c>
    </row>
    <row r="176" spans="1:31" x14ac:dyDescent="0.25">
      <c r="A176" t="s">
        <v>540</v>
      </c>
      <c r="B176" s="2">
        <v>46038</v>
      </c>
      <c r="C176" t="s">
        <v>541</v>
      </c>
      <c r="D176" t="s">
        <v>542</v>
      </c>
      <c r="E176" t="s">
        <v>108</v>
      </c>
      <c r="F176" t="s">
        <v>49</v>
      </c>
      <c r="G176" t="s">
        <v>36</v>
      </c>
      <c r="H176" t="s">
        <v>69</v>
      </c>
      <c r="I176">
        <v>8</v>
      </c>
      <c r="J176">
        <v>20</v>
      </c>
      <c r="K176">
        <v>7</v>
      </c>
      <c r="L176">
        <v>13</v>
      </c>
      <c r="M176">
        <v>0</v>
      </c>
      <c r="N176">
        <v>20</v>
      </c>
      <c r="O176">
        <v>2</v>
      </c>
      <c r="P176">
        <v>43</v>
      </c>
      <c r="Q176">
        <v>7.28</v>
      </c>
      <c r="R176">
        <v>145.6</v>
      </c>
      <c r="S176">
        <v>20540</v>
      </c>
      <c r="T176">
        <v>15900</v>
      </c>
      <c r="U176">
        <v>357</v>
      </c>
      <c r="V176">
        <v>15543</v>
      </c>
      <c r="W176" s="3">
        <f t="shared" si="14"/>
        <v>106.75137362637363</v>
      </c>
      <c r="X176">
        <v>118.4084783141387</v>
      </c>
      <c r="Y176" s="3">
        <v>118.4084783141387</v>
      </c>
      <c r="Z176" s="4">
        <f t="shared" si="15"/>
        <v>0.90155177354075378</v>
      </c>
      <c r="AA176" s="5">
        <f t="shared" si="16"/>
        <v>173.46730818976664</v>
      </c>
      <c r="AB176" s="5">
        <f t="shared" si="17"/>
        <v>7.2833333333333332</v>
      </c>
      <c r="AC176" s="5">
        <f t="shared" si="18"/>
        <v>24</v>
      </c>
      <c r="AD176" s="5">
        <f t="shared" si="19"/>
        <v>4</v>
      </c>
      <c r="AE176" s="5" t="str">
        <f t="shared" si="20"/>
        <v>Shortage</v>
      </c>
    </row>
    <row r="177" spans="1:31" x14ac:dyDescent="0.25">
      <c r="A177" t="s">
        <v>543</v>
      </c>
      <c r="B177" s="2">
        <v>46038</v>
      </c>
      <c r="C177" t="s">
        <v>544</v>
      </c>
      <c r="D177" t="s">
        <v>77</v>
      </c>
      <c r="E177" t="s">
        <v>78</v>
      </c>
      <c r="F177" t="s">
        <v>68</v>
      </c>
      <c r="G177" t="s">
        <v>43</v>
      </c>
      <c r="H177" t="s">
        <v>88</v>
      </c>
      <c r="I177">
        <v>9</v>
      </c>
      <c r="J177">
        <v>27</v>
      </c>
      <c r="K177">
        <v>9</v>
      </c>
      <c r="L177">
        <v>18</v>
      </c>
      <c r="M177">
        <v>1</v>
      </c>
      <c r="N177">
        <v>26</v>
      </c>
      <c r="O177">
        <v>0</v>
      </c>
      <c r="P177">
        <v>15</v>
      </c>
      <c r="Q177">
        <v>8.75</v>
      </c>
      <c r="R177">
        <v>227.5</v>
      </c>
      <c r="S177">
        <v>34488</v>
      </c>
      <c r="T177">
        <v>29587</v>
      </c>
      <c r="U177">
        <v>1263</v>
      </c>
      <c r="V177">
        <v>28324</v>
      </c>
      <c r="W177" s="3">
        <f t="shared" si="14"/>
        <v>124.5010989010989</v>
      </c>
      <c r="X177">
        <v>128.22014138735929</v>
      </c>
      <c r="Y177" s="3">
        <v>128.22014138735929</v>
      </c>
      <c r="Z177" s="4">
        <f t="shared" si="15"/>
        <v>0.97099486519029032</v>
      </c>
      <c r="AA177" s="5">
        <f t="shared" si="16"/>
        <v>268.97490228005654</v>
      </c>
      <c r="AB177" s="5">
        <f t="shared" si="17"/>
        <v>8.75</v>
      </c>
      <c r="AC177" s="5">
        <f t="shared" si="18"/>
        <v>31</v>
      </c>
      <c r="AD177" s="5">
        <f t="shared" si="19"/>
        <v>5</v>
      </c>
      <c r="AE177" s="5" t="str">
        <f t="shared" si="20"/>
        <v>Shortage</v>
      </c>
    </row>
    <row r="178" spans="1:31" x14ac:dyDescent="0.25">
      <c r="A178" t="s">
        <v>545</v>
      </c>
      <c r="B178" s="2">
        <v>46038</v>
      </c>
      <c r="C178" t="s">
        <v>546</v>
      </c>
      <c r="D178" t="s">
        <v>178</v>
      </c>
      <c r="E178" t="s">
        <v>179</v>
      </c>
      <c r="F178" t="s">
        <v>49</v>
      </c>
      <c r="G178" t="s">
        <v>79</v>
      </c>
      <c r="H178" t="s">
        <v>44</v>
      </c>
      <c r="I178">
        <v>8</v>
      </c>
      <c r="J178">
        <v>18</v>
      </c>
      <c r="K178">
        <v>7</v>
      </c>
      <c r="L178">
        <v>11</v>
      </c>
      <c r="M178">
        <v>0</v>
      </c>
      <c r="N178">
        <v>18</v>
      </c>
      <c r="O178">
        <v>2</v>
      </c>
      <c r="P178">
        <v>28</v>
      </c>
      <c r="Q178">
        <v>7.53</v>
      </c>
      <c r="R178">
        <v>135.54</v>
      </c>
      <c r="S178">
        <v>17189</v>
      </c>
      <c r="T178">
        <v>14857</v>
      </c>
      <c r="U178">
        <v>508</v>
      </c>
      <c r="V178">
        <v>14349</v>
      </c>
      <c r="W178" s="3">
        <f t="shared" si="14"/>
        <v>105.86542718016823</v>
      </c>
      <c r="X178">
        <v>107.36289227751951</v>
      </c>
      <c r="Y178" s="3">
        <v>107.36289227751951</v>
      </c>
      <c r="Z178" s="4">
        <f t="shared" si="15"/>
        <v>0.98605230293646973</v>
      </c>
      <c r="AA178" s="5">
        <f t="shared" si="16"/>
        <v>160.1018716556984</v>
      </c>
      <c r="AB178" s="5">
        <f t="shared" si="17"/>
        <v>7.5333333333333332</v>
      </c>
      <c r="AC178" s="5">
        <f t="shared" si="18"/>
        <v>22</v>
      </c>
      <c r="AD178" s="5">
        <f t="shared" si="19"/>
        <v>4</v>
      </c>
      <c r="AE178" s="5" t="str">
        <f t="shared" si="20"/>
        <v>Shortage</v>
      </c>
    </row>
    <row r="179" spans="1:31" x14ac:dyDescent="0.25">
      <c r="A179" t="s">
        <v>547</v>
      </c>
      <c r="B179" s="2">
        <v>46039</v>
      </c>
      <c r="C179" t="s">
        <v>548</v>
      </c>
      <c r="D179" t="s">
        <v>549</v>
      </c>
      <c r="E179" t="s">
        <v>116</v>
      </c>
      <c r="F179" t="s">
        <v>42</v>
      </c>
      <c r="G179" t="s">
        <v>36</v>
      </c>
      <c r="H179" t="s">
        <v>50</v>
      </c>
      <c r="I179">
        <v>8</v>
      </c>
      <c r="J179">
        <v>15</v>
      </c>
      <c r="K179">
        <v>7</v>
      </c>
      <c r="L179">
        <v>8</v>
      </c>
      <c r="M179">
        <v>1</v>
      </c>
      <c r="N179">
        <v>14</v>
      </c>
      <c r="O179">
        <v>2</v>
      </c>
      <c r="P179">
        <v>32</v>
      </c>
      <c r="Q179">
        <v>7.47</v>
      </c>
      <c r="R179">
        <v>104.58</v>
      </c>
      <c r="S179">
        <v>12748</v>
      </c>
      <c r="T179">
        <v>10480</v>
      </c>
      <c r="U179">
        <v>134</v>
      </c>
      <c r="V179">
        <v>10346</v>
      </c>
      <c r="W179" s="3">
        <f t="shared" si="14"/>
        <v>98.929049531459171</v>
      </c>
      <c r="X179">
        <v>112.98347693798689</v>
      </c>
      <c r="Y179" s="3">
        <v>112.98347693798689</v>
      </c>
      <c r="Z179" s="4">
        <f t="shared" si="15"/>
        <v>0.87560634716311869</v>
      </c>
      <c r="AA179" s="5">
        <f t="shared" si="16"/>
        <v>112.83065759249894</v>
      </c>
      <c r="AB179" s="5">
        <f t="shared" si="17"/>
        <v>7.4666666666666668</v>
      </c>
      <c r="AC179" s="5">
        <f t="shared" si="18"/>
        <v>16</v>
      </c>
      <c r="AD179" s="5">
        <f t="shared" si="19"/>
        <v>2</v>
      </c>
      <c r="AE179" s="5" t="str">
        <f t="shared" si="20"/>
        <v>Shortage</v>
      </c>
    </row>
    <row r="180" spans="1:31" x14ac:dyDescent="0.25">
      <c r="A180" t="s">
        <v>550</v>
      </c>
      <c r="B180" s="2">
        <v>46040</v>
      </c>
      <c r="C180" t="s">
        <v>551</v>
      </c>
      <c r="D180" t="s">
        <v>336</v>
      </c>
      <c r="E180" t="s">
        <v>337</v>
      </c>
      <c r="F180" t="s">
        <v>68</v>
      </c>
      <c r="G180" t="s">
        <v>36</v>
      </c>
      <c r="H180" t="s">
        <v>88</v>
      </c>
      <c r="I180">
        <v>8</v>
      </c>
      <c r="J180">
        <v>26</v>
      </c>
      <c r="K180">
        <v>12</v>
      </c>
      <c r="L180">
        <v>14</v>
      </c>
      <c r="M180">
        <v>0</v>
      </c>
      <c r="N180">
        <v>26</v>
      </c>
      <c r="O180">
        <v>3</v>
      </c>
      <c r="P180">
        <v>30</v>
      </c>
      <c r="Q180">
        <v>7.5</v>
      </c>
      <c r="R180">
        <v>195</v>
      </c>
      <c r="S180">
        <v>18507</v>
      </c>
      <c r="T180">
        <v>16031</v>
      </c>
      <c r="U180">
        <v>328</v>
      </c>
      <c r="V180">
        <v>15703</v>
      </c>
      <c r="W180" s="3">
        <f t="shared" si="14"/>
        <v>80.52820512820513</v>
      </c>
      <c r="X180">
        <v>120.8174989437542</v>
      </c>
      <c r="Y180" s="3">
        <v>120.8174989437542</v>
      </c>
      <c r="Z180" s="4">
        <f t="shared" si="15"/>
        <v>0.66652766223620064</v>
      </c>
      <c r="AA180" s="5">
        <f t="shared" si="16"/>
        <v>153.18145270177968</v>
      </c>
      <c r="AB180" s="5">
        <f t="shared" si="17"/>
        <v>7.5</v>
      </c>
      <c r="AC180" s="5">
        <f t="shared" si="18"/>
        <v>21</v>
      </c>
      <c r="AD180" s="5">
        <f t="shared" si="19"/>
        <v>-5</v>
      </c>
      <c r="AE180" s="5" t="str">
        <f t="shared" si="20"/>
        <v>Surplus</v>
      </c>
    </row>
    <row r="181" spans="1:31" x14ac:dyDescent="0.25">
      <c r="A181" t="s">
        <v>552</v>
      </c>
      <c r="B181" s="2">
        <v>46040</v>
      </c>
      <c r="C181" t="s">
        <v>553</v>
      </c>
      <c r="D181" t="s">
        <v>554</v>
      </c>
      <c r="E181" t="s">
        <v>555</v>
      </c>
      <c r="F181" t="s">
        <v>35</v>
      </c>
      <c r="G181" t="s">
        <v>43</v>
      </c>
      <c r="H181" t="s">
        <v>37</v>
      </c>
      <c r="I181">
        <v>8</v>
      </c>
      <c r="J181">
        <v>25</v>
      </c>
      <c r="K181">
        <v>10</v>
      </c>
      <c r="L181">
        <v>15</v>
      </c>
      <c r="M181">
        <v>1</v>
      </c>
      <c r="N181">
        <v>24</v>
      </c>
      <c r="O181">
        <v>2</v>
      </c>
      <c r="P181">
        <v>15</v>
      </c>
      <c r="Q181">
        <v>7.75</v>
      </c>
      <c r="R181">
        <v>186</v>
      </c>
      <c r="S181">
        <v>24231</v>
      </c>
      <c r="T181">
        <v>20971</v>
      </c>
      <c r="U181">
        <v>105</v>
      </c>
      <c r="V181">
        <v>20866</v>
      </c>
      <c r="W181" s="3">
        <f t="shared" si="14"/>
        <v>112.18279569892474</v>
      </c>
      <c r="X181">
        <v>118.01656521145939</v>
      </c>
      <c r="Y181" s="3">
        <v>118.01656521145939</v>
      </c>
      <c r="Z181" s="4">
        <f t="shared" si="15"/>
        <v>0.9505682147071316</v>
      </c>
      <c r="AA181" s="5">
        <f t="shared" si="16"/>
        <v>205.31863435089343</v>
      </c>
      <c r="AB181" s="5">
        <f t="shared" si="17"/>
        <v>7.75</v>
      </c>
      <c r="AC181" s="5">
        <f t="shared" si="18"/>
        <v>27</v>
      </c>
      <c r="AD181" s="5">
        <f t="shared" si="19"/>
        <v>3</v>
      </c>
      <c r="AE181" s="5" t="str">
        <f t="shared" si="20"/>
        <v>Shortage</v>
      </c>
    </row>
    <row r="182" spans="1:31" x14ac:dyDescent="0.25">
      <c r="A182" t="s">
        <v>556</v>
      </c>
      <c r="B182" s="2">
        <v>46041</v>
      </c>
      <c r="C182" t="s">
        <v>557</v>
      </c>
      <c r="D182" t="s">
        <v>558</v>
      </c>
      <c r="E182" t="s">
        <v>143</v>
      </c>
      <c r="F182" t="s">
        <v>49</v>
      </c>
      <c r="G182" t="s">
        <v>43</v>
      </c>
      <c r="H182" t="s">
        <v>74</v>
      </c>
      <c r="I182">
        <v>10</v>
      </c>
      <c r="J182">
        <v>27</v>
      </c>
      <c r="K182">
        <v>9</v>
      </c>
      <c r="L182">
        <v>18</v>
      </c>
      <c r="M182">
        <v>0</v>
      </c>
      <c r="N182">
        <v>27</v>
      </c>
      <c r="O182">
        <v>0</v>
      </c>
      <c r="P182">
        <v>19</v>
      </c>
      <c r="Q182">
        <v>9.68</v>
      </c>
      <c r="R182">
        <v>261.36</v>
      </c>
      <c r="S182">
        <v>35870</v>
      </c>
      <c r="T182">
        <v>32583</v>
      </c>
      <c r="U182">
        <v>648</v>
      </c>
      <c r="V182">
        <v>31935</v>
      </c>
      <c r="W182" s="3">
        <f t="shared" si="14"/>
        <v>122.18778696051423</v>
      </c>
      <c r="X182">
        <v>124.78240035826239</v>
      </c>
      <c r="Y182" s="3">
        <v>124.78240035826239</v>
      </c>
      <c r="Z182" s="4">
        <f t="shared" si="15"/>
        <v>0.97920689624258894</v>
      </c>
      <c r="AA182" s="5">
        <f t="shared" si="16"/>
        <v>287.4604102582876</v>
      </c>
      <c r="AB182" s="5">
        <f t="shared" si="17"/>
        <v>9.6833333333333336</v>
      </c>
      <c r="AC182" s="5">
        <f t="shared" si="18"/>
        <v>30</v>
      </c>
      <c r="AD182" s="5">
        <f t="shared" si="19"/>
        <v>3</v>
      </c>
      <c r="AE182" s="5" t="str">
        <f t="shared" si="20"/>
        <v>Shortage</v>
      </c>
    </row>
    <row r="183" spans="1:31" x14ac:dyDescent="0.25">
      <c r="A183" t="s">
        <v>559</v>
      </c>
      <c r="B183" s="2">
        <v>46041</v>
      </c>
      <c r="C183" t="s">
        <v>560</v>
      </c>
      <c r="D183" t="s">
        <v>561</v>
      </c>
      <c r="E183" t="s">
        <v>562</v>
      </c>
      <c r="F183" t="s">
        <v>55</v>
      </c>
      <c r="G183" t="s">
        <v>43</v>
      </c>
      <c r="H183" t="s">
        <v>74</v>
      </c>
      <c r="I183">
        <v>10</v>
      </c>
      <c r="J183">
        <v>17</v>
      </c>
      <c r="K183">
        <v>7</v>
      </c>
      <c r="L183">
        <v>10</v>
      </c>
      <c r="M183">
        <v>0</v>
      </c>
      <c r="N183">
        <v>17</v>
      </c>
      <c r="O183">
        <v>1</v>
      </c>
      <c r="P183">
        <v>12</v>
      </c>
      <c r="Q183">
        <v>9.8000000000000007</v>
      </c>
      <c r="R183">
        <v>166.6</v>
      </c>
      <c r="S183">
        <v>19462</v>
      </c>
      <c r="T183">
        <v>17035</v>
      </c>
      <c r="U183">
        <v>319</v>
      </c>
      <c r="V183">
        <v>16716</v>
      </c>
      <c r="W183" s="3">
        <f t="shared" si="14"/>
        <v>100.33613445378151</v>
      </c>
      <c r="X183">
        <v>109.38855294136761</v>
      </c>
      <c r="Y183" s="3">
        <v>109.38855294136761</v>
      </c>
      <c r="Z183" s="4">
        <f t="shared" si="15"/>
        <v>0.91724528532306115</v>
      </c>
      <c r="AA183" s="5">
        <f t="shared" si="16"/>
        <v>177.91623964924059</v>
      </c>
      <c r="AB183" s="5">
        <f t="shared" si="17"/>
        <v>9.8000000000000007</v>
      </c>
      <c r="AC183" s="5">
        <f t="shared" si="18"/>
        <v>19</v>
      </c>
      <c r="AD183" s="5">
        <f t="shared" si="19"/>
        <v>2</v>
      </c>
      <c r="AE183" s="5" t="str">
        <f t="shared" si="20"/>
        <v>Shortage</v>
      </c>
    </row>
    <row r="184" spans="1:31" x14ac:dyDescent="0.25">
      <c r="A184" t="s">
        <v>563</v>
      </c>
      <c r="B184" s="2">
        <v>46041</v>
      </c>
      <c r="C184" t="s">
        <v>564</v>
      </c>
      <c r="D184" t="s">
        <v>47</v>
      </c>
      <c r="E184" t="s">
        <v>48</v>
      </c>
      <c r="F184" t="s">
        <v>35</v>
      </c>
      <c r="G184" t="s">
        <v>43</v>
      </c>
      <c r="H184" t="s">
        <v>69</v>
      </c>
      <c r="I184">
        <v>8</v>
      </c>
      <c r="J184">
        <v>22</v>
      </c>
      <c r="K184">
        <v>9</v>
      </c>
      <c r="L184">
        <v>13</v>
      </c>
      <c r="M184">
        <v>0</v>
      </c>
      <c r="N184">
        <v>22</v>
      </c>
      <c r="O184">
        <v>2</v>
      </c>
      <c r="P184">
        <v>24</v>
      </c>
      <c r="Q184">
        <v>7.6</v>
      </c>
      <c r="R184">
        <v>167.2</v>
      </c>
      <c r="S184">
        <v>19423</v>
      </c>
      <c r="T184">
        <v>16006</v>
      </c>
      <c r="U184">
        <v>321</v>
      </c>
      <c r="V184">
        <v>15685</v>
      </c>
      <c r="W184" s="3">
        <f t="shared" si="14"/>
        <v>93.809808612440193</v>
      </c>
      <c r="X184">
        <v>118.01656521145939</v>
      </c>
      <c r="Y184" s="3">
        <v>118.01656521145939</v>
      </c>
      <c r="Z184" s="4">
        <f t="shared" si="15"/>
        <v>0.79488678936176382</v>
      </c>
      <c r="AA184" s="5">
        <f t="shared" si="16"/>
        <v>164.5785908545831</v>
      </c>
      <c r="AB184" s="5">
        <f t="shared" si="17"/>
        <v>7.6</v>
      </c>
      <c r="AC184" s="5">
        <f t="shared" si="18"/>
        <v>22</v>
      </c>
      <c r="AD184" s="5">
        <f t="shared" si="19"/>
        <v>0</v>
      </c>
      <c r="AE184" s="5" t="str">
        <f t="shared" si="20"/>
        <v>Balanced</v>
      </c>
    </row>
    <row r="185" spans="1:31" x14ac:dyDescent="0.25">
      <c r="A185" t="s">
        <v>565</v>
      </c>
      <c r="B185" s="2">
        <v>46045</v>
      </c>
      <c r="C185" t="s">
        <v>566</v>
      </c>
      <c r="D185" t="s">
        <v>567</v>
      </c>
      <c r="E185" t="s">
        <v>568</v>
      </c>
      <c r="F185" t="s">
        <v>42</v>
      </c>
      <c r="G185" t="s">
        <v>36</v>
      </c>
      <c r="H185" t="s">
        <v>74</v>
      </c>
      <c r="I185">
        <v>8</v>
      </c>
      <c r="J185">
        <v>15</v>
      </c>
      <c r="K185">
        <v>5</v>
      </c>
      <c r="L185">
        <v>10</v>
      </c>
      <c r="M185">
        <v>1</v>
      </c>
      <c r="N185">
        <v>14</v>
      </c>
      <c r="O185">
        <v>0</v>
      </c>
      <c r="P185">
        <v>45</v>
      </c>
      <c r="Q185">
        <v>7.25</v>
      </c>
      <c r="R185">
        <v>101.5</v>
      </c>
      <c r="S185">
        <v>13867</v>
      </c>
      <c r="T185">
        <v>12275</v>
      </c>
      <c r="U185">
        <v>411</v>
      </c>
      <c r="V185">
        <v>11864</v>
      </c>
      <c r="W185" s="3">
        <f t="shared" si="14"/>
        <v>116.88669950738917</v>
      </c>
      <c r="X185">
        <v>112.98347693798689</v>
      </c>
      <c r="Y185" s="3">
        <v>112.98347693798689</v>
      </c>
      <c r="Z185" s="4">
        <f t="shared" si="15"/>
        <v>1.0345468441508896</v>
      </c>
      <c r="AA185" s="5">
        <f t="shared" si="16"/>
        <v>122.73476065541126</v>
      </c>
      <c r="AB185" s="5">
        <f t="shared" si="17"/>
        <v>7.25</v>
      </c>
      <c r="AC185" s="5">
        <f t="shared" si="18"/>
        <v>17</v>
      </c>
      <c r="AD185" s="5">
        <f t="shared" si="19"/>
        <v>3</v>
      </c>
      <c r="AE185" s="5" t="str">
        <f t="shared" si="20"/>
        <v>Shortage</v>
      </c>
    </row>
    <row r="186" spans="1:31" x14ac:dyDescent="0.25">
      <c r="A186" t="s">
        <v>569</v>
      </c>
      <c r="B186" s="2">
        <v>46046</v>
      </c>
      <c r="C186" t="s">
        <v>570</v>
      </c>
      <c r="D186" t="s">
        <v>342</v>
      </c>
      <c r="E186" t="s">
        <v>343</v>
      </c>
      <c r="F186" t="s">
        <v>55</v>
      </c>
      <c r="G186" t="s">
        <v>36</v>
      </c>
      <c r="H186" t="s">
        <v>74</v>
      </c>
      <c r="I186">
        <v>8</v>
      </c>
      <c r="J186">
        <v>14</v>
      </c>
      <c r="K186">
        <v>4</v>
      </c>
      <c r="L186">
        <v>10</v>
      </c>
      <c r="M186">
        <v>2</v>
      </c>
      <c r="N186">
        <v>12</v>
      </c>
      <c r="O186">
        <v>2</v>
      </c>
      <c r="P186">
        <v>40</v>
      </c>
      <c r="Q186">
        <v>7.33</v>
      </c>
      <c r="R186">
        <v>87.96</v>
      </c>
      <c r="S186">
        <v>9572</v>
      </c>
      <c r="T186">
        <v>9608</v>
      </c>
      <c r="U186">
        <v>336</v>
      </c>
      <c r="V186">
        <v>9272</v>
      </c>
      <c r="W186" s="3">
        <f t="shared" si="14"/>
        <v>105.41155070486586</v>
      </c>
      <c r="X186">
        <v>108.32817332835501</v>
      </c>
      <c r="Y186" s="3">
        <v>108.32817332835501</v>
      </c>
      <c r="Z186" s="4">
        <f t="shared" si="15"/>
        <v>0.97307604721951202</v>
      </c>
      <c r="AA186" s="5">
        <f t="shared" si="16"/>
        <v>88.361131789660845</v>
      </c>
      <c r="AB186" s="5">
        <f t="shared" si="17"/>
        <v>7.333333333333333</v>
      </c>
      <c r="AC186" s="5">
        <f t="shared" si="18"/>
        <v>13</v>
      </c>
      <c r="AD186" s="5">
        <f t="shared" si="19"/>
        <v>1</v>
      </c>
      <c r="AE186" s="5" t="str">
        <f t="shared" si="20"/>
        <v>Shortage</v>
      </c>
    </row>
    <row r="187" spans="1:31" x14ac:dyDescent="0.25">
      <c r="A187" t="s">
        <v>571</v>
      </c>
      <c r="B187" s="2">
        <v>46046</v>
      </c>
      <c r="C187" t="s">
        <v>572</v>
      </c>
      <c r="D187" t="s">
        <v>573</v>
      </c>
      <c r="E187" t="s">
        <v>574</v>
      </c>
      <c r="F187" t="s">
        <v>42</v>
      </c>
      <c r="G187" t="s">
        <v>43</v>
      </c>
      <c r="H187" t="s">
        <v>44</v>
      </c>
      <c r="I187">
        <v>9</v>
      </c>
      <c r="J187">
        <v>17</v>
      </c>
      <c r="K187">
        <v>7</v>
      </c>
      <c r="L187">
        <v>10</v>
      </c>
      <c r="M187">
        <v>0</v>
      </c>
      <c r="N187">
        <v>17</v>
      </c>
      <c r="O187">
        <v>2</v>
      </c>
      <c r="P187">
        <v>5</v>
      </c>
      <c r="Q187">
        <v>8.92</v>
      </c>
      <c r="R187">
        <v>151.63999999999999</v>
      </c>
      <c r="S187">
        <v>19756</v>
      </c>
      <c r="T187">
        <v>17395</v>
      </c>
      <c r="U187">
        <v>420</v>
      </c>
      <c r="V187">
        <v>16975</v>
      </c>
      <c r="W187" s="3">
        <f t="shared" si="14"/>
        <v>111.94275916644686</v>
      </c>
      <c r="X187">
        <v>115.1855592022217</v>
      </c>
      <c r="Y187" s="3">
        <v>115.1855592022217</v>
      </c>
      <c r="Z187" s="4">
        <f t="shared" si="15"/>
        <v>0.97184716505927871</v>
      </c>
      <c r="AA187" s="5">
        <f t="shared" si="16"/>
        <v>171.51455561643832</v>
      </c>
      <c r="AB187" s="5">
        <f t="shared" si="17"/>
        <v>8.9166666666666661</v>
      </c>
      <c r="AC187" s="5">
        <f t="shared" si="18"/>
        <v>20</v>
      </c>
      <c r="AD187" s="5">
        <f t="shared" si="19"/>
        <v>3</v>
      </c>
      <c r="AE187" s="5" t="str">
        <f t="shared" si="20"/>
        <v>Shortage</v>
      </c>
    </row>
    <row r="188" spans="1:31" x14ac:dyDescent="0.25">
      <c r="A188" t="s">
        <v>575</v>
      </c>
      <c r="B188" s="2">
        <v>46046</v>
      </c>
      <c r="C188" t="s">
        <v>576</v>
      </c>
      <c r="D188" t="s">
        <v>119</v>
      </c>
      <c r="E188" t="s">
        <v>120</v>
      </c>
      <c r="F188" t="s">
        <v>55</v>
      </c>
      <c r="G188" t="s">
        <v>43</v>
      </c>
      <c r="H188" t="s">
        <v>69</v>
      </c>
      <c r="I188">
        <v>8</v>
      </c>
      <c r="J188">
        <v>17</v>
      </c>
      <c r="K188">
        <v>7</v>
      </c>
      <c r="L188">
        <v>10</v>
      </c>
      <c r="M188">
        <v>1</v>
      </c>
      <c r="N188">
        <v>16</v>
      </c>
      <c r="O188">
        <v>2</v>
      </c>
      <c r="P188">
        <v>25</v>
      </c>
      <c r="Q188">
        <v>7.58</v>
      </c>
      <c r="R188">
        <v>121.28</v>
      </c>
      <c r="S188">
        <v>15798</v>
      </c>
      <c r="T188">
        <v>14937</v>
      </c>
      <c r="U188">
        <v>261</v>
      </c>
      <c r="V188">
        <v>14676</v>
      </c>
      <c r="W188" s="3">
        <f t="shared" si="14"/>
        <v>121.00923482849605</v>
      </c>
      <c r="X188">
        <v>109.38855294136761</v>
      </c>
      <c r="Y188" s="3">
        <v>109.38855294136761</v>
      </c>
      <c r="Z188" s="4">
        <f t="shared" si="15"/>
        <v>1.1062330707798753</v>
      </c>
      <c r="AA188" s="5">
        <f t="shared" si="16"/>
        <v>144.42096156503456</v>
      </c>
      <c r="AB188" s="5">
        <f t="shared" si="17"/>
        <v>7.583333333333333</v>
      </c>
      <c r="AC188" s="5">
        <f t="shared" si="18"/>
        <v>20</v>
      </c>
      <c r="AD188" s="5">
        <f t="shared" si="19"/>
        <v>4</v>
      </c>
      <c r="AE188" s="5" t="str">
        <f t="shared" si="20"/>
        <v>Shortage</v>
      </c>
    </row>
    <row r="189" spans="1:31" x14ac:dyDescent="0.25">
      <c r="A189" t="s">
        <v>577</v>
      </c>
      <c r="B189" s="2">
        <v>46046</v>
      </c>
      <c r="C189" t="s">
        <v>578</v>
      </c>
      <c r="D189" t="s">
        <v>573</v>
      </c>
      <c r="E189" t="s">
        <v>574</v>
      </c>
      <c r="F189" t="s">
        <v>35</v>
      </c>
      <c r="G189" t="s">
        <v>43</v>
      </c>
      <c r="H189" t="s">
        <v>88</v>
      </c>
      <c r="I189">
        <v>10</v>
      </c>
      <c r="J189">
        <v>20</v>
      </c>
      <c r="K189">
        <v>9</v>
      </c>
      <c r="L189">
        <v>11</v>
      </c>
      <c r="M189">
        <v>0</v>
      </c>
      <c r="N189">
        <v>20</v>
      </c>
      <c r="O189">
        <v>3</v>
      </c>
      <c r="P189">
        <v>43</v>
      </c>
      <c r="Q189">
        <v>9.2799999999999994</v>
      </c>
      <c r="R189">
        <v>185.6</v>
      </c>
      <c r="S189">
        <v>24231</v>
      </c>
      <c r="T189">
        <v>23378</v>
      </c>
      <c r="U189">
        <v>697</v>
      </c>
      <c r="V189">
        <v>22681</v>
      </c>
      <c r="W189" s="3">
        <f t="shared" si="14"/>
        <v>122.20366379310346</v>
      </c>
      <c r="X189">
        <v>118.01656521145939</v>
      </c>
      <c r="Y189" s="3">
        <v>118.01656521145939</v>
      </c>
      <c r="Z189" s="4">
        <f t="shared" si="15"/>
        <v>1.0354789056446585</v>
      </c>
      <c r="AA189" s="5">
        <f t="shared" si="16"/>
        <v>205.31863435089343</v>
      </c>
      <c r="AB189" s="5">
        <f t="shared" si="17"/>
        <v>9.2833333333333332</v>
      </c>
      <c r="AC189" s="5">
        <f t="shared" si="18"/>
        <v>23</v>
      </c>
      <c r="AD189" s="5">
        <f t="shared" si="19"/>
        <v>3</v>
      </c>
      <c r="AE189" s="5" t="str">
        <f t="shared" si="20"/>
        <v>Shortage</v>
      </c>
    </row>
    <row r="190" spans="1:31" x14ac:dyDescent="0.25">
      <c r="A190" t="s">
        <v>579</v>
      </c>
      <c r="B190" s="2">
        <v>46047</v>
      </c>
      <c r="C190" t="s">
        <v>580</v>
      </c>
      <c r="D190" t="s">
        <v>448</v>
      </c>
      <c r="E190" t="s">
        <v>449</v>
      </c>
      <c r="F190" t="s">
        <v>42</v>
      </c>
      <c r="G190" t="s">
        <v>43</v>
      </c>
      <c r="H190" t="s">
        <v>88</v>
      </c>
      <c r="I190">
        <v>9</v>
      </c>
      <c r="J190">
        <v>20</v>
      </c>
      <c r="K190">
        <v>9</v>
      </c>
      <c r="L190">
        <v>11</v>
      </c>
      <c r="M190">
        <v>1</v>
      </c>
      <c r="N190">
        <v>19</v>
      </c>
      <c r="O190">
        <v>0</v>
      </c>
      <c r="P190">
        <v>41</v>
      </c>
      <c r="Q190">
        <v>8.32</v>
      </c>
      <c r="R190">
        <v>158.08000000000001</v>
      </c>
      <c r="S190">
        <v>22343</v>
      </c>
      <c r="T190">
        <v>16430</v>
      </c>
      <c r="U190">
        <v>304</v>
      </c>
      <c r="V190">
        <v>16126</v>
      </c>
      <c r="W190" s="3">
        <f t="shared" si="14"/>
        <v>102.01163967611335</v>
      </c>
      <c r="X190">
        <v>115.1855592022217</v>
      </c>
      <c r="Y190" s="3">
        <v>115.1855592022217</v>
      </c>
      <c r="Z190" s="4">
        <f t="shared" si="15"/>
        <v>0.8856287227552545</v>
      </c>
      <c r="AA190" s="5">
        <f t="shared" si="16"/>
        <v>193.97396821917803</v>
      </c>
      <c r="AB190" s="5">
        <f t="shared" si="17"/>
        <v>8.3166666666666664</v>
      </c>
      <c r="AC190" s="5">
        <f t="shared" si="18"/>
        <v>24</v>
      </c>
      <c r="AD190" s="5">
        <f t="shared" si="19"/>
        <v>5</v>
      </c>
      <c r="AE190" s="5" t="str">
        <f t="shared" si="20"/>
        <v>Shortage</v>
      </c>
    </row>
    <row r="191" spans="1:31" x14ac:dyDescent="0.25">
      <c r="A191" t="s">
        <v>581</v>
      </c>
      <c r="B191" s="2">
        <v>46047</v>
      </c>
      <c r="C191" t="s">
        <v>582</v>
      </c>
      <c r="D191" t="s">
        <v>558</v>
      </c>
      <c r="E191" t="s">
        <v>143</v>
      </c>
      <c r="F191" t="s">
        <v>55</v>
      </c>
      <c r="G191" t="s">
        <v>43</v>
      </c>
      <c r="H191" t="s">
        <v>37</v>
      </c>
      <c r="I191">
        <v>10</v>
      </c>
      <c r="J191">
        <v>20</v>
      </c>
      <c r="K191">
        <v>9</v>
      </c>
      <c r="L191">
        <v>11</v>
      </c>
      <c r="M191">
        <v>2</v>
      </c>
      <c r="N191">
        <v>18</v>
      </c>
      <c r="O191">
        <v>2</v>
      </c>
      <c r="P191">
        <v>32</v>
      </c>
      <c r="Q191">
        <v>9.4700000000000006</v>
      </c>
      <c r="R191">
        <v>170.46</v>
      </c>
      <c r="S191">
        <v>21126</v>
      </c>
      <c r="T191">
        <v>19704</v>
      </c>
      <c r="U191">
        <v>400</v>
      </c>
      <c r="V191">
        <v>19304</v>
      </c>
      <c r="W191" s="3">
        <f t="shared" si="14"/>
        <v>113.24650944503108</v>
      </c>
      <c r="X191">
        <v>109.38855294136761</v>
      </c>
      <c r="Y191" s="3">
        <v>109.38855294136761</v>
      </c>
      <c r="Z191" s="4">
        <f t="shared" si="15"/>
        <v>1.0352683749800708</v>
      </c>
      <c r="AA191" s="5">
        <f t="shared" si="16"/>
        <v>193.1280689975263</v>
      </c>
      <c r="AB191" s="5">
        <f t="shared" si="17"/>
        <v>9.4666666666666668</v>
      </c>
      <c r="AC191" s="5">
        <f t="shared" si="18"/>
        <v>21</v>
      </c>
      <c r="AD191" s="5">
        <f t="shared" si="19"/>
        <v>3</v>
      </c>
      <c r="AE191" s="5" t="str">
        <f t="shared" si="20"/>
        <v>Shortage</v>
      </c>
    </row>
    <row r="192" spans="1:31" x14ac:dyDescent="0.25">
      <c r="A192" t="s">
        <v>583</v>
      </c>
      <c r="B192" s="2">
        <v>46049</v>
      </c>
      <c r="C192" t="s">
        <v>584</v>
      </c>
      <c r="D192" t="s">
        <v>182</v>
      </c>
      <c r="E192" t="s">
        <v>183</v>
      </c>
      <c r="F192" t="s">
        <v>49</v>
      </c>
      <c r="G192" t="s">
        <v>79</v>
      </c>
      <c r="H192" t="s">
        <v>69</v>
      </c>
      <c r="I192">
        <v>10</v>
      </c>
      <c r="J192">
        <v>19</v>
      </c>
      <c r="K192">
        <v>8</v>
      </c>
      <c r="L192">
        <v>11</v>
      </c>
      <c r="M192">
        <v>1</v>
      </c>
      <c r="N192">
        <v>18</v>
      </c>
      <c r="O192">
        <v>1</v>
      </c>
      <c r="P192">
        <v>60</v>
      </c>
      <c r="Q192">
        <v>9</v>
      </c>
      <c r="R192">
        <v>162</v>
      </c>
      <c r="S192">
        <v>21551</v>
      </c>
      <c r="T192">
        <v>16617</v>
      </c>
      <c r="U192">
        <v>403</v>
      </c>
      <c r="V192">
        <v>16214</v>
      </c>
      <c r="W192" s="3">
        <f t="shared" si="14"/>
        <v>100.08641975308642</v>
      </c>
      <c r="X192">
        <v>107.36289227751951</v>
      </c>
      <c r="Y192" s="3">
        <v>107.36289227751951</v>
      </c>
      <c r="Z192" s="4">
        <f t="shared" si="15"/>
        <v>0.93222544242172312</v>
      </c>
      <c r="AA192" s="5">
        <f t="shared" si="16"/>
        <v>200.73043435057048</v>
      </c>
      <c r="AB192" s="5">
        <f t="shared" si="17"/>
        <v>9</v>
      </c>
      <c r="AC192" s="5">
        <f t="shared" si="18"/>
        <v>23</v>
      </c>
      <c r="AD192" s="5">
        <f t="shared" si="19"/>
        <v>5</v>
      </c>
      <c r="AE192" s="5" t="str">
        <f t="shared" si="20"/>
        <v>Shortage</v>
      </c>
    </row>
    <row r="193" spans="1:31" x14ac:dyDescent="0.25">
      <c r="A193" t="s">
        <v>585</v>
      </c>
      <c r="B193" s="2">
        <v>46050</v>
      </c>
      <c r="C193" t="s">
        <v>586</v>
      </c>
      <c r="D193" t="s">
        <v>107</v>
      </c>
      <c r="E193" t="s">
        <v>108</v>
      </c>
      <c r="F193" t="s">
        <v>68</v>
      </c>
      <c r="G193" t="s">
        <v>43</v>
      </c>
      <c r="H193" t="s">
        <v>50</v>
      </c>
      <c r="I193">
        <v>8</v>
      </c>
      <c r="J193">
        <v>30</v>
      </c>
      <c r="K193">
        <v>10</v>
      </c>
      <c r="L193">
        <v>20</v>
      </c>
      <c r="M193">
        <v>0</v>
      </c>
      <c r="N193">
        <v>30</v>
      </c>
      <c r="O193">
        <v>0</v>
      </c>
      <c r="P193">
        <v>42</v>
      </c>
      <c r="Q193">
        <v>7.3</v>
      </c>
      <c r="R193">
        <v>219</v>
      </c>
      <c r="S193">
        <v>34115</v>
      </c>
      <c r="T193">
        <v>31075</v>
      </c>
      <c r="U193">
        <v>833</v>
      </c>
      <c r="V193">
        <v>30242</v>
      </c>
      <c r="W193" s="3">
        <f t="shared" si="14"/>
        <v>138.09132420091325</v>
      </c>
      <c r="X193">
        <v>128.22014138735929</v>
      </c>
      <c r="Y193" s="3">
        <v>128.22014138735929</v>
      </c>
      <c r="Z193" s="4">
        <f t="shared" si="15"/>
        <v>1.0769862106432455</v>
      </c>
      <c r="AA193" s="5">
        <f t="shared" si="16"/>
        <v>266.065842939113</v>
      </c>
      <c r="AB193" s="5">
        <f t="shared" si="17"/>
        <v>7.3</v>
      </c>
      <c r="AC193" s="5">
        <f t="shared" si="18"/>
        <v>37</v>
      </c>
      <c r="AD193" s="5">
        <f t="shared" si="19"/>
        <v>7</v>
      </c>
      <c r="AE193" s="5" t="str">
        <f t="shared" si="20"/>
        <v>Shortage</v>
      </c>
    </row>
    <row r="194" spans="1:31" x14ac:dyDescent="0.25">
      <c r="A194" t="s">
        <v>587</v>
      </c>
      <c r="B194" s="2">
        <v>46052</v>
      </c>
      <c r="C194" t="s">
        <v>588</v>
      </c>
      <c r="D194" t="s">
        <v>174</v>
      </c>
      <c r="E194" t="s">
        <v>175</v>
      </c>
      <c r="F194" t="s">
        <v>42</v>
      </c>
      <c r="G194" t="s">
        <v>36</v>
      </c>
      <c r="H194" t="s">
        <v>88</v>
      </c>
      <c r="I194">
        <v>10</v>
      </c>
      <c r="J194">
        <v>17</v>
      </c>
      <c r="K194">
        <v>6</v>
      </c>
      <c r="L194">
        <v>11</v>
      </c>
      <c r="M194">
        <v>0</v>
      </c>
      <c r="N194">
        <v>17</v>
      </c>
      <c r="O194">
        <v>0</v>
      </c>
      <c r="P194">
        <v>11</v>
      </c>
      <c r="Q194">
        <v>9.82</v>
      </c>
      <c r="R194">
        <v>166.94</v>
      </c>
      <c r="S194">
        <v>20309</v>
      </c>
      <c r="T194">
        <v>20747</v>
      </c>
      <c r="U194">
        <v>431</v>
      </c>
      <c r="V194">
        <v>20316</v>
      </c>
      <c r="W194" s="3">
        <f t="shared" si="14"/>
        <v>121.69641787468552</v>
      </c>
      <c r="X194">
        <v>112.98347693798689</v>
      </c>
      <c r="Y194" s="3">
        <v>112.98347693798689</v>
      </c>
      <c r="Z194" s="4">
        <f t="shared" si="15"/>
        <v>1.07711694818421</v>
      </c>
      <c r="AA194" s="5">
        <f t="shared" si="16"/>
        <v>179.75194736790564</v>
      </c>
      <c r="AB194" s="5">
        <f t="shared" si="17"/>
        <v>9.8166666666666664</v>
      </c>
      <c r="AC194" s="5">
        <f t="shared" si="18"/>
        <v>19</v>
      </c>
      <c r="AD194" s="5">
        <f t="shared" si="19"/>
        <v>2</v>
      </c>
      <c r="AE194" s="5" t="str">
        <f t="shared" si="20"/>
        <v>Shortage</v>
      </c>
    </row>
    <row r="195" spans="1:31" x14ac:dyDescent="0.25">
      <c r="A195" t="s">
        <v>589</v>
      </c>
      <c r="B195" s="2">
        <v>46052</v>
      </c>
      <c r="C195" t="s">
        <v>590</v>
      </c>
      <c r="D195" t="s">
        <v>567</v>
      </c>
      <c r="E195" t="s">
        <v>568</v>
      </c>
      <c r="F195" t="s">
        <v>55</v>
      </c>
      <c r="G195" t="s">
        <v>36</v>
      </c>
      <c r="H195" t="s">
        <v>44</v>
      </c>
      <c r="I195">
        <v>10</v>
      </c>
      <c r="J195">
        <v>19</v>
      </c>
      <c r="K195">
        <v>8</v>
      </c>
      <c r="L195">
        <v>11</v>
      </c>
      <c r="M195">
        <v>0</v>
      </c>
      <c r="N195">
        <v>19</v>
      </c>
      <c r="O195">
        <v>0</v>
      </c>
      <c r="P195">
        <v>21</v>
      </c>
      <c r="Q195">
        <v>9.65</v>
      </c>
      <c r="R195">
        <v>183.35</v>
      </c>
      <c r="S195">
        <v>22467</v>
      </c>
      <c r="T195">
        <v>20926</v>
      </c>
      <c r="U195">
        <v>764</v>
      </c>
      <c r="V195">
        <v>20162</v>
      </c>
      <c r="W195" s="3">
        <f t="shared" ref="W195:W258" si="21">IFERROR(V195/R195,0)</f>
        <v>109.96454867739297</v>
      </c>
      <c r="X195">
        <v>108.32817332835501</v>
      </c>
      <c r="Y195" s="3">
        <v>108.32817332835501</v>
      </c>
      <c r="Z195" s="4">
        <f t="shared" ref="Z195:Z258" si="22">IFERROR(W195/Y195,0)</f>
        <v>1.0151057227197759</v>
      </c>
      <c r="AA195" s="5">
        <f t="shared" ref="AA195:AA258" si="23">IFERROR(S195/Y195,0)</f>
        <v>207.39757082305792</v>
      </c>
      <c r="AB195" s="5">
        <f t="shared" ref="AB195:AB258" si="24">MAX(0.1,I195-(P195/60))</f>
        <v>9.65</v>
      </c>
      <c r="AC195" s="5">
        <f t="shared" ref="AC195:AC258" si="25">IFERROR(CEILING(AA195/AB195,1),0)</f>
        <v>22</v>
      </c>
      <c r="AD195" s="5">
        <f t="shared" ref="AD195:AD258" si="26">AC195-N195</f>
        <v>3</v>
      </c>
      <c r="AE195" s="5" t="str">
        <f t="shared" ref="AE195:AE258" si="27">IF(AD195&gt;0,"Shortage",IF(AD195&lt;0,"Surplus","Balanced"))</f>
        <v>Shortage</v>
      </c>
    </row>
    <row r="196" spans="1:31" x14ac:dyDescent="0.25">
      <c r="A196" t="s">
        <v>591</v>
      </c>
      <c r="B196" s="2">
        <v>46052</v>
      </c>
      <c r="C196" t="s">
        <v>592</v>
      </c>
      <c r="D196" t="s">
        <v>448</v>
      </c>
      <c r="E196" t="s">
        <v>449</v>
      </c>
      <c r="F196" t="s">
        <v>55</v>
      </c>
      <c r="G196" t="s">
        <v>43</v>
      </c>
      <c r="H196" t="s">
        <v>74</v>
      </c>
      <c r="I196">
        <v>8</v>
      </c>
      <c r="J196">
        <v>19</v>
      </c>
      <c r="K196">
        <v>6</v>
      </c>
      <c r="L196">
        <v>13</v>
      </c>
      <c r="M196">
        <v>2</v>
      </c>
      <c r="N196">
        <v>17</v>
      </c>
      <c r="O196">
        <v>0</v>
      </c>
      <c r="P196">
        <v>17</v>
      </c>
      <c r="Q196">
        <v>7.72</v>
      </c>
      <c r="R196">
        <v>131.24</v>
      </c>
      <c r="S196">
        <v>16113</v>
      </c>
      <c r="T196">
        <v>13133</v>
      </c>
      <c r="U196">
        <v>477</v>
      </c>
      <c r="V196">
        <v>12656</v>
      </c>
      <c r="W196" s="3">
        <f t="shared" si="21"/>
        <v>96.434014020115811</v>
      </c>
      <c r="X196">
        <v>109.38855294136761</v>
      </c>
      <c r="Y196" s="3">
        <v>109.38855294136761</v>
      </c>
      <c r="Z196" s="4">
        <f t="shared" si="22"/>
        <v>0.88157317586790418</v>
      </c>
      <c r="AA196" s="5">
        <f t="shared" si="23"/>
        <v>147.30060474094202</v>
      </c>
      <c r="AB196" s="5">
        <f t="shared" si="24"/>
        <v>7.7166666666666668</v>
      </c>
      <c r="AC196" s="5">
        <f t="shared" si="25"/>
        <v>20</v>
      </c>
      <c r="AD196" s="5">
        <f t="shared" si="26"/>
        <v>3</v>
      </c>
      <c r="AE196" s="5" t="str">
        <f t="shared" si="27"/>
        <v>Shortage</v>
      </c>
    </row>
    <row r="197" spans="1:31" x14ac:dyDescent="0.25">
      <c r="A197" t="s">
        <v>593</v>
      </c>
      <c r="B197" s="2">
        <v>46053</v>
      </c>
      <c r="C197" t="s">
        <v>594</v>
      </c>
      <c r="D197" t="s">
        <v>408</v>
      </c>
      <c r="E197" t="s">
        <v>409</v>
      </c>
      <c r="F197" t="s">
        <v>55</v>
      </c>
      <c r="G197" t="s">
        <v>36</v>
      </c>
      <c r="H197" t="s">
        <v>44</v>
      </c>
      <c r="I197">
        <v>8</v>
      </c>
      <c r="J197">
        <v>13</v>
      </c>
      <c r="K197">
        <v>5</v>
      </c>
      <c r="L197">
        <v>8</v>
      </c>
      <c r="M197">
        <v>0</v>
      </c>
      <c r="N197">
        <v>13</v>
      </c>
      <c r="O197">
        <v>2</v>
      </c>
      <c r="P197">
        <v>29</v>
      </c>
      <c r="Q197">
        <v>7.52</v>
      </c>
      <c r="R197">
        <v>97.76</v>
      </c>
      <c r="S197">
        <v>12207</v>
      </c>
      <c r="T197">
        <v>9970</v>
      </c>
      <c r="U197">
        <v>50</v>
      </c>
      <c r="V197">
        <v>9920</v>
      </c>
      <c r="W197" s="3">
        <f t="shared" si="21"/>
        <v>101.47299509001635</v>
      </c>
      <c r="X197">
        <v>108.32817332835501</v>
      </c>
      <c r="Y197" s="3">
        <v>108.32817332835501</v>
      </c>
      <c r="Z197" s="4">
        <f t="shared" si="22"/>
        <v>0.93671841749274376</v>
      </c>
      <c r="AA197" s="5">
        <f t="shared" si="23"/>
        <v>112.68536729590367</v>
      </c>
      <c r="AB197" s="5">
        <f t="shared" si="24"/>
        <v>7.5166666666666666</v>
      </c>
      <c r="AC197" s="5">
        <f t="shared" si="25"/>
        <v>15</v>
      </c>
      <c r="AD197" s="5">
        <f t="shared" si="26"/>
        <v>2</v>
      </c>
      <c r="AE197" s="5" t="str">
        <f t="shared" si="27"/>
        <v>Shortage</v>
      </c>
    </row>
    <row r="198" spans="1:31" x14ac:dyDescent="0.25">
      <c r="A198" t="s">
        <v>595</v>
      </c>
      <c r="B198" s="2">
        <v>46053</v>
      </c>
      <c r="C198" t="s">
        <v>596</v>
      </c>
      <c r="D198" t="s">
        <v>186</v>
      </c>
      <c r="E198" t="s">
        <v>187</v>
      </c>
      <c r="F198" t="s">
        <v>35</v>
      </c>
      <c r="G198" t="s">
        <v>36</v>
      </c>
      <c r="H198" t="s">
        <v>50</v>
      </c>
      <c r="I198">
        <v>9</v>
      </c>
      <c r="J198">
        <v>23</v>
      </c>
      <c r="K198">
        <v>8</v>
      </c>
      <c r="L198">
        <v>15</v>
      </c>
      <c r="M198">
        <v>0</v>
      </c>
      <c r="N198">
        <v>23</v>
      </c>
      <c r="O198">
        <v>2</v>
      </c>
      <c r="P198">
        <v>45</v>
      </c>
      <c r="Q198">
        <v>8.25</v>
      </c>
      <c r="R198">
        <v>189.75</v>
      </c>
      <c r="S198">
        <v>18951</v>
      </c>
      <c r="T198">
        <v>13779</v>
      </c>
      <c r="U198">
        <v>222</v>
      </c>
      <c r="V198">
        <v>13557</v>
      </c>
      <c r="W198" s="3">
        <f t="shared" si="21"/>
        <v>71.446640316205531</v>
      </c>
      <c r="X198">
        <v>114.1563708384419</v>
      </c>
      <c r="Y198" s="3">
        <v>114.1563708384419</v>
      </c>
      <c r="Z198" s="4">
        <f t="shared" si="22"/>
        <v>0.62586643033107037</v>
      </c>
      <c r="AA198" s="5">
        <f t="shared" si="23"/>
        <v>166.00913169200271</v>
      </c>
      <c r="AB198" s="5">
        <f t="shared" si="24"/>
        <v>8.25</v>
      </c>
      <c r="AC198" s="5">
        <f t="shared" si="25"/>
        <v>21</v>
      </c>
      <c r="AD198" s="5">
        <f t="shared" si="26"/>
        <v>-2</v>
      </c>
      <c r="AE198" s="5" t="str">
        <f t="shared" si="27"/>
        <v>Surplus</v>
      </c>
    </row>
    <row r="199" spans="1:31" x14ac:dyDescent="0.25">
      <c r="A199" t="s">
        <v>597</v>
      </c>
      <c r="B199" s="2">
        <v>46055</v>
      </c>
      <c r="C199" t="s">
        <v>598</v>
      </c>
      <c r="D199" t="s">
        <v>599</v>
      </c>
      <c r="E199" t="s">
        <v>600</v>
      </c>
      <c r="F199" t="s">
        <v>68</v>
      </c>
      <c r="G199" t="s">
        <v>43</v>
      </c>
      <c r="H199" t="s">
        <v>44</v>
      </c>
      <c r="I199">
        <v>8</v>
      </c>
      <c r="J199">
        <v>29</v>
      </c>
      <c r="K199">
        <v>10</v>
      </c>
      <c r="L199">
        <v>19</v>
      </c>
      <c r="M199">
        <v>0</v>
      </c>
      <c r="N199">
        <v>29</v>
      </c>
      <c r="O199">
        <v>1</v>
      </c>
      <c r="P199">
        <v>27</v>
      </c>
      <c r="Q199">
        <v>7.55</v>
      </c>
      <c r="R199">
        <v>218.95</v>
      </c>
      <c r="S199">
        <v>29257</v>
      </c>
      <c r="T199">
        <v>27207</v>
      </c>
      <c r="U199">
        <v>558</v>
      </c>
      <c r="V199">
        <v>26649</v>
      </c>
      <c r="W199" s="3">
        <f t="shared" si="21"/>
        <v>121.71271979904088</v>
      </c>
      <c r="X199">
        <v>128.22014138735929</v>
      </c>
      <c r="Y199" s="3">
        <v>128.22014138735929</v>
      </c>
      <c r="Z199" s="4">
        <f t="shared" si="22"/>
        <v>0.94924805480709018</v>
      </c>
      <c r="AA199" s="5">
        <f t="shared" si="23"/>
        <v>228.1778797265024</v>
      </c>
      <c r="AB199" s="5">
        <f t="shared" si="24"/>
        <v>7.55</v>
      </c>
      <c r="AC199" s="5">
        <f t="shared" si="25"/>
        <v>31</v>
      </c>
      <c r="AD199" s="5">
        <f t="shared" si="26"/>
        <v>2</v>
      </c>
      <c r="AE199" s="5" t="str">
        <f t="shared" si="27"/>
        <v>Shortage</v>
      </c>
    </row>
    <row r="200" spans="1:31" x14ac:dyDescent="0.25">
      <c r="A200" t="s">
        <v>601</v>
      </c>
      <c r="B200" s="2">
        <v>46055</v>
      </c>
      <c r="C200" t="s">
        <v>602</v>
      </c>
      <c r="D200" t="s">
        <v>190</v>
      </c>
      <c r="E200" t="s">
        <v>108</v>
      </c>
      <c r="F200" t="s">
        <v>68</v>
      </c>
      <c r="G200" t="s">
        <v>79</v>
      </c>
      <c r="H200" t="s">
        <v>50</v>
      </c>
      <c r="I200">
        <v>8</v>
      </c>
      <c r="J200">
        <v>21</v>
      </c>
      <c r="K200">
        <v>7</v>
      </c>
      <c r="L200">
        <v>14</v>
      </c>
      <c r="M200">
        <v>1</v>
      </c>
      <c r="N200">
        <v>20</v>
      </c>
      <c r="O200">
        <v>0</v>
      </c>
      <c r="P200">
        <v>43</v>
      </c>
      <c r="Q200">
        <v>7.28</v>
      </c>
      <c r="R200">
        <v>145.6</v>
      </c>
      <c r="S200">
        <v>17881</v>
      </c>
      <c r="T200">
        <v>16541</v>
      </c>
      <c r="U200">
        <v>482</v>
      </c>
      <c r="V200">
        <v>16059</v>
      </c>
      <c r="W200" s="3">
        <f t="shared" si="21"/>
        <v>110.29532967032968</v>
      </c>
      <c r="X200">
        <v>114.6579540175248</v>
      </c>
      <c r="Y200" s="3">
        <v>114.6579540175248</v>
      </c>
      <c r="Z200" s="4">
        <f t="shared" si="22"/>
        <v>0.96195096638015776</v>
      </c>
      <c r="AA200" s="5">
        <f t="shared" si="23"/>
        <v>155.95080300549401</v>
      </c>
      <c r="AB200" s="5">
        <f t="shared" si="24"/>
        <v>7.2833333333333332</v>
      </c>
      <c r="AC200" s="5">
        <f t="shared" si="25"/>
        <v>22</v>
      </c>
      <c r="AD200" s="5">
        <f t="shared" si="26"/>
        <v>2</v>
      </c>
      <c r="AE200" s="5" t="str">
        <f t="shared" si="27"/>
        <v>Shortage</v>
      </c>
    </row>
    <row r="201" spans="1:31" x14ac:dyDescent="0.25">
      <c r="A201" t="s">
        <v>603</v>
      </c>
      <c r="B201" s="2">
        <v>46056</v>
      </c>
      <c r="C201" t="s">
        <v>604</v>
      </c>
      <c r="D201" t="s">
        <v>119</v>
      </c>
      <c r="E201" t="s">
        <v>120</v>
      </c>
      <c r="F201" t="s">
        <v>55</v>
      </c>
      <c r="G201" t="s">
        <v>36</v>
      </c>
      <c r="H201" t="s">
        <v>44</v>
      </c>
      <c r="I201">
        <v>8</v>
      </c>
      <c r="J201">
        <v>18</v>
      </c>
      <c r="K201">
        <v>6</v>
      </c>
      <c r="L201">
        <v>12</v>
      </c>
      <c r="M201">
        <v>0</v>
      </c>
      <c r="N201">
        <v>18</v>
      </c>
      <c r="O201">
        <v>0</v>
      </c>
      <c r="P201">
        <v>41</v>
      </c>
      <c r="Q201">
        <v>7.32</v>
      </c>
      <c r="R201">
        <v>131.76</v>
      </c>
      <c r="S201">
        <v>17506</v>
      </c>
      <c r="T201">
        <v>13154</v>
      </c>
      <c r="U201">
        <v>115</v>
      </c>
      <c r="V201">
        <v>13039</v>
      </c>
      <c r="W201" s="3">
        <f t="shared" si="21"/>
        <v>98.960230722525807</v>
      </c>
      <c r="X201">
        <v>108.32817332835501</v>
      </c>
      <c r="Y201" s="3">
        <v>108.32817332835501</v>
      </c>
      <c r="Z201" s="4">
        <f t="shared" si="22"/>
        <v>0.91352256464775883</v>
      </c>
      <c r="AA201" s="5">
        <f t="shared" si="23"/>
        <v>161.60154336709181</v>
      </c>
      <c r="AB201" s="5">
        <f t="shared" si="24"/>
        <v>7.3166666666666664</v>
      </c>
      <c r="AC201" s="5">
        <f t="shared" si="25"/>
        <v>23</v>
      </c>
      <c r="AD201" s="5">
        <f t="shared" si="26"/>
        <v>5</v>
      </c>
      <c r="AE201" s="5" t="str">
        <f t="shared" si="27"/>
        <v>Shortage</v>
      </c>
    </row>
    <row r="202" spans="1:31" x14ac:dyDescent="0.25">
      <c r="A202" t="s">
        <v>605</v>
      </c>
      <c r="B202" s="2">
        <v>46057</v>
      </c>
      <c r="C202" t="s">
        <v>606</v>
      </c>
      <c r="D202" t="s">
        <v>346</v>
      </c>
      <c r="E202" t="s">
        <v>347</v>
      </c>
      <c r="F202" t="s">
        <v>55</v>
      </c>
      <c r="G202" t="s">
        <v>43</v>
      </c>
      <c r="H202" t="s">
        <v>44</v>
      </c>
      <c r="I202">
        <v>9</v>
      </c>
      <c r="J202">
        <v>15</v>
      </c>
      <c r="K202">
        <v>6</v>
      </c>
      <c r="L202">
        <v>9</v>
      </c>
      <c r="M202">
        <v>0</v>
      </c>
      <c r="N202">
        <v>15</v>
      </c>
      <c r="O202">
        <v>2</v>
      </c>
      <c r="P202">
        <v>32</v>
      </c>
      <c r="Q202">
        <v>8.4700000000000006</v>
      </c>
      <c r="R202">
        <v>127.05</v>
      </c>
      <c r="S202">
        <v>15700</v>
      </c>
      <c r="T202">
        <v>12321</v>
      </c>
      <c r="U202">
        <v>237</v>
      </c>
      <c r="V202">
        <v>12084</v>
      </c>
      <c r="W202" s="3">
        <f t="shared" si="21"/>
        <v>95.112160566706024</v>
      </c>
      <c r="X202">
        <v>109.38855294136761</v>
      </c>
      <c r="Y202" s="3">
        <v>109.38855294136761</v>
      </c>
      <c r="Z202" s="4">
        <f t="shared" si="22"/>
        <v>0.86948915594199561</v>
      </c>
      <c r="AA202" s="5">
        <f t="shared" si="23"/>
        <v>143.52507257697448</v>
      </c>
      <c r="AB202" s="5">
        <f t="shared" si="24"/>
        <v>8.4666666666666668</v>
      </c>
      <c r="AC202" s="5">
        <f t="shared" si="25"/>
        <v>17</v>
      </c>
      <c r="AD202" s="5">
        <f t="shared" si="26"/>
        <v>2</v>
      </c>
      <c r="AE202" s="5" t="str">
        <f t="shared" si="27"/>
        <v>Shortage</v>
      </c>
    </row>
    <row r="203" spans="1:31" x14ac:dyDescent="0.25">
      <c r="A203" t="s">
        <v>607</v>
      </c>
      <c r="B203" s="2">
        <v>46058</v>
      </c>
      <c r="C203" t="s">
        <v>608</v>
      </c>
      <c r="D203" t="s">
        <v>359</v>
      </c>
      <c r="E203" t="s">
        <v>360</v>
      </c>
      <c r="F203" t="s">
        <v>35</v>
      </c>
      <c r="G203" t="s">
        <v>36</v>
      </c>
      <c r="H203" t="s">
        <v>44</v>
      </c>
      <c r="I203">
        <v>9</v>
      </c>
      <c r="J203">
        <v>21</v>
      </c>
      <c r="K203">
        <v>9</v>
      </c>
      <c r="L203">
        <v>12</v>
      </c>
      <c r="M203">
        <v>0</v>
      </c>
      <c r="N203">
        <v>21</v>
      </c>
      <c r="O203">
        <v>3</v>
      </c>
      <c r="P203">
        <v>40</v>
      </c>
      <c r="Q203">
        <v>8.33</v>
      </c>
      <c r="R203">
        <v>174.93</v>
      </c>
      <c r="S203">
        <v>23361</v>
      </c>
      <c r="T203">
        <v>20259</v>
      </c>
      <c r="U203">
        <v>501</v>
      </c>
      <c r="V203">
        <v>19758</v>
      </c>
      <c r="W203" s="3">
        <f t="shared" si="21"/>
        <v>112.9480363574001</v>
      </c>
      <c r="X203">
        <v>114.1563708384419</v>
      </c>
      <c r="Y203" s="3">
        <v>114.1563708384419</v>
      </c>
      <c r="Z203" s="4">
        <f t="shared" si="22"/>
        <v>0.98941509376860026</v>
      </c>
      <c r="AA203" s="5">
        <f t="shared" si="23"/>
        <v>204.64035277594192</v>
      </c>
      <c r="AB203" s="5">
        <f t="shared" si="24"/>
        <v>8.3333333333333339</v>
      </c>
      <c r="AC203" s="5">
        <f t="shared" si="25"/>
        <v>25</v>
      </c>
      <c r="AD203" s="5">
        <f t="shared" si="26"/>
        <v>4</v>
      </c>
      <c r="AE203" s="5" t="str">
        <f t="shared" si="27"/>
        <v>Shortage</v>
      </c>
    </row>
    <row r="204" spans="1:31" x14ac:dyDescent="0.25">
      <c r="A204" t="s">
        <v>609</v>
      </c>
      <c r="B204" s="2">
        <v>46059</v>
      </c>
      <c r="C204" t="s">
        <v>610</v>
      </c>
      <c r="D204" t="s">
        <v>174</v>
      </c>
      <c r="E204" t="s">
        <v>175</v>
      </c>
      <c r="F204" t="s">
        <v>49</v>
      </c>
      <c r="G204" t="s">
        <v>43</v>
      </c>
      <c r="H204" t="s">
        <v>69</v>
      </c>
      <c r="I204">
        <v>9</v>
      </c>
      <c r="J204">
        <v>22</v>
      </c>
      <c r="K204">
        <v>7</v>
      </c>
      <c r="L204">
        <v>15</v>
      </c>
      <c r="M204">
        <v>0</v>
      </c>
      <c r="N204">
        <v>22</v>
      </c>
      <c r="O204">
        <v>3</v>
      </c>
      <c r="P204">
        <v>56</v>
      </c>
      <c r="Q204">
        <v>8.07</v>
      </c>
      <c r="R204">
        <v>177.54</v>
      </c>
      <c r="S204">
        <v>24987</v>
      </c>
      <c r="T204">
        <v>20985</v>
      </c>
      <c r="U204">
        <v>693</v>
      </c>
      <c r="V204">
        <v>20292</v>
      </c>
      <c r="W204" s="3">
        <f t="shared" si="21"/>
        <v>114.29537005745185</v>
      </c>
      <c r="X204">
        <v>124.78240035826239</v>
      </c>
      <c r="Y204" s="3">
        <v>124.78240035826239</v>
      </c>
      <c r="Z204" s="4">
        <f t="shared" si="22"/>
        <v>0.91595745657479533</v>
      </c>
      <c r="AA204" s="5">
        <f t="shared" si="23"/>
        <v>200.24458519999533</v>
      </c>
      <c r="AB204" s="5">
        <f t="shared" si="24"/>
        <v>8.0666666666666664</v>
      </c>
      <c r="AC204" s="5">
        <f t="shared" si="25"/>
        <v>25</v>
      </c>
      <c r="AD204" s="5">
        <f t="shared" si="26"/>
        <v>3</v>
      </c>
      <c r="AE204" s="5" t="str">
        <f t="shared" si="27"/>
        <v>Shortage</v>
      </c>
    </row>
    <row r="205" spans="1:31" x14ac:dyDescent="0.25">
      <c r="A205" t="s">
        <v>611</v>
      </c>
      <c r="B205" s="2">
        <v>46059</v>
      </c>
      <c r="C205" t="s">
        <v>612</v>
      </c>
      <c r="D205" t="s">
        <v>567</v>
      </c>
      <c r="E205" t="s">
        <v>568</v>
      </c>
      <c r="F205" t="s">
        <v>35</v>
      </c>
      <c r="G205" t="s">
        <v>43</v>
      </c>
      <c r="H205" t="s">
        <v>74</v>
      </c>
      <c r="I205">
        <v>8</v>
      </c>
      <c r="J205">
        <v>25</v>
      </c>
      <c r="K205">
        <v>10</v>
      </c>
      <c r="L205">
        <v>15</v>
      </c>
      <c r="M205">
        <v>0</v>
      </c>
      <c r="N205">
        <v>25</v>
      </c>
      <c r="O205">
        <v>2</v>
      </c>
      <c r="P205">
        <v>24</v>
      </c>
      <c r="Q205">
        <v>7.6</v>
      </c>
      <c r="R205">
        <v>190</v>
      </c>
      <c r="S205">
        <v>25537</v>
      </c>
      <c r="T205">
        <v>21855</v>
      </c>
      <c r="U205">
        <v>273</v>
      </c>
      <c r="V205">
        <v>21582</v>
      </c>
      <c r="W205" s="3">
        <f t="shared" si="21"/>
        <v>113.58947368421053</v>
      </c>
      <c r="X205">
        <v>118.01656521145939</v>
      </c>
      <c r="Y205" s="3">
        <v>118.01656521145939</v>
      </c>
      <c r="Z205" s="4">
        <f t="shared" si="22"/>
        <v>0.96248754130984493</v>
      </c>
      <c r="AA205" s="5">
        <f t="shared" si="23"/>
        <v>216.38487744702098</v>
      </c>
      <c r="AB205" s="5">
        <f t="shared" si="24"/>
        <v>7.6</v>
      </c>
      <c r="AC205" s="5">
        <f t="shared" si="25"/>
        <v>29</v>
      </c>
      <c r="AD205" s="5">
        <f t="shared" si="26"/>
        <v>4</v>
      </c>
      <c r="AE205" s="5" t="str">
        <f t="shared" si="27"/>
        <v>Shortage</v>
      </c>
    </row>
    <row r="206" spans="1:31" x14ac:dyDescent="0.25">
      <c r="A206" t="s">
        <v>613</v>
      </c>
      <c r="B206" s="2">
        <v>46060</v>
      </c>
      <c r="C206" t="s">
        <v>614</v>
      </c>
      <c r="D206" t="s">
        <v>320</v>
      </c>
      <c r="E206" t="s">
        <v>321</v>
      </c>
      <c r="F206" t="s">
        <v>42</v>
      </c>
      <c r="G206" t="s">
        <v>43</v>
      </c>
      <c r="H206" t="s">
        <v>88</v>
      </c>
      <c r="I206">
        <v>9</v>
      </c>
      <c r="J206">
        <v>19</v>
      </c>
      <c r="K206">
        <v>7</v>
      </c>
      <c r="L206">
        <v>12</v>
      </c>
      <c r="M206">
        <v>0</v>
      </c>
      <c r="N206">
        <v>19</v>
      </c>
      <c r="O206">
        <v>1</v>
      </c>
      <c r="P206">
        <v>58</v>
      </c>
      <c r="Q206">
        <v>8.0299999999999994</v>
      </c>
      <c r="R206">
        <v>152.57</v>
      </c>
      <c r="S206">
        <v>20586</v>
      </c>
      <c r="T206">
        <v>13911</v>
      </c>
      <c r="U206">
        <v>211</v>
      </c>
      <c r="V206">
        <v>13700</v>
      </c>
      <c r="W206" s="3">
        <f t="shared" si="21"/>
        <v>89.794848266369542</v>
      </c>
      <c r="X206">
        <v>115.1855592022217</v>
      </c>
      <c r="Y206" s="3">
        <v>115.1855592022217</v>
      </c>
      <c r="Z206" s="4">
        <f t="shared" si="22"/>
        <v>0.77956689092184028</v>
      </c>
      <c r="AA206" s="5">
        <f t="shared" si="23"/>
        <v>178.72031999999996</v>
      </c>
      <c r="AB206" s="5">
        <f t="shared" si="24"/>
        <v>8.0333333333333332</v>
      </c>
      <c r="AC206" s="5">
        <f t="shared" si="25"/>
        <v>23</v>
      </c>
      <c r="AD206" s="5">
        <f t="shared" si="26"/>
        <v>4</v>
      </c>
      <c r="AE206" s="5" t="str">
        <f t="shared" si="27"/>
        <v>Shortage</v>
      </c>
    </row>
    <row r="207" spans="1:31" x14ac:dyDescent="0.25">
      <c r="A207" t="s">
        <v>615</v>
      </c>
      <c r="B207" s="2">
        <v>46062</v>
      </c>
      <c r="C207" t="s">
        <v>616</v>
      </c>
      <c r="D207" t="s">
        <v>152</v>
      </c>
      <c r="E207" t="s">
        <v>153</v>
      </c>
      <c r="F207" t="s">
        <v>49</v>
      </c>
      <c r="G207" t="s">
        <v>36</v>
      </c>
      <c r="H207" t="s">
        <v>69</v>
      </c>
      <c r="I207">
        <v>10</v>
      </c>
      <c r="J207">
        <v>21</v>
      </c>
      <c r="K207">
        <v>9</v>
      </c>
      <c r="L207">
        <v>12</v>
      </c>
      <c r="M207">
        <v>1</v>
      </c>
      <c r="N207">
        <v>20</v>
      </c>
      <c r="O207">
        <v>1</v>
      </c>
      <c r="P207">
        <v>47</v>
      </c>
      <c r="Q207">
        <v>9.2200000000000006</v>
      </c>
      <c r="R207">
        <v>184.4</v>
      </c>
      <c r="S207">
        <v>26994</v>
      </c>
      <c r="T207">
        <v>20647</v>
      </c>
      <c r="U207">
        <v>282</v>
      </c>
      <c r="V207">
        <v>20365</v>
      </c>
      <c r="W207" s="3">
        <f t="shared" si="21"/>
        <v>110.43926247288503</v>
      </c>
      <c r="X207">
        <v>118.4084783141387</v>
      </c>
      <c r="Y207" s="3">
        <v>118.4084783141387</v>
      </c>
      <c r="Z207" s="4">
        <f t="shared" si="22"/>
        <v>0.93269725314676144</v>
      </c>
      <c r="AA207" s="5">
        <f t="shared" si="23"/>
        <v>227.97354027626881</v>
      </c>
      <c r="AB207" s="5">
        <f t="shared" si="24"/>
        <v>9.2166666666666668</v>
      </c>
      <c r="AC207" s="5">
        <f t="shared" si="25"/>
        <v>25</v>
      </c>
      <c r="AD207" s="5">
        <f t="shared" si="26"/>
        <v>5</v>
      </c>
      <c r="AE207" s="5" t="str">
        <f t="shared" si="27"/>
        <v>Shortage</v>
      </c>
    </row>
    <row r="208" spans="1:31" x14ac:dyDescent="0.25">
      <c r="A208" t="s">
        <v>617</v>
      </c>
      <c r="B208" s="2">
        <v>46063</v>
      </c>
      <c r="C208" t="s">
        <v>618</v>
      </c>
      <c r="D208" t="s">
        <v>567</v>
      </c>
      <c r="E208" t="s">
        <v>568</v>
      </c>
      <c r="F208" t="s">
        <v>55</v>
      </c>
      <c r="G208" t="s">
        <v>36</v>
      </c>
      <c r="H208" t="s">
        <v>50</v>
      </c>
      <c r="I208">
        <v>8</v>
      </c>
      <c r="J208">
        <v>18</v>
      </c>
      <c r="K208">
        <v>9</v>
      </c>
      <c r="L208">
        <v>9</v>
      </c>
      <c r="M208">
        <v>2</v>
      </c>
      <c r="N208">
        <v>16</v>
      </c>
      <c r="O208">
        <v>0</v>
      </c>
      <c r="P208">
        <v>56</v>
      </c>
      <c r="Q208">
        <v>7.07</v>
      </c>
      <c r="R208">
        <v>113.12</v>
      </c>
      <c r="S208">
        <v>14388</v>
      </c>
      <c r="T208">
        <v>10683</v>
      </c>
      <c r="U208">
        <v>272</v>
      </c>
      <c r="V208">
        <v>10411</v>
      </c>
      <c r="W208" s="3">
        <f t="shared" si="21"/>
        <v>92.035007072135784</v>
      </c>
      <c r="X208">
        <v>108.32817332835501</v>
      </c>
      <c r="Y208" s="3">
        <v>108.32817332835501</v>
      </c>
      <c r="Z208" s="4">
        <f t="shared" si="22"/>
        <v>0.84959437830791451</v>
      </c>
      <c r="AA208" s="5">
        <f t="shared" si="23"/>
        <v>132.81863395211454</v>
      </c>
      <c r="AB208" s="5">
        <f t="shared" si="24"/>
        <v>7.0666666666666664</v>
      </c>
      <c r="AC208" s="5">
        <f t="shared" si="25"/>
        <v>19</v>
      </c>
      <c r="AD208" s="5">
        <f t="shared" si="26"/>
        <v>3</v>
      </c>
      <c r="AE208" s="5" t="str">
        <f t="shared" si="27"/>
        <v>Shortage</v>
      </c>
    </row>
    <row r="209" spans="1:31" x14ac:dyDescent="0.25">
      <c r="A209" t="s">
        <v>619</v>
      </c>
      <c r="B209" s="2">
        <v>46063</v>
      </c>
      <c r="C209" t="s">
        <v>620</v>
      </c>
      <c r="D209" t="s">
        <v>178</v>
      </c>
      <c r="E209" t="s">
        <v>179</v>
      </c>
      <c r="F209" t="s">
        <v>68</v>
      </c>
      <c r="G209" t="s">
        <v>43</v>
      </c>
      <c r="H209" t="s">
        <v>37</v>
      </c>
      <c r="I209">
        <v>10</v>
      </c>
      <c r="J209">
        <v>25</v>
      </c>
      <c r="K209">
        <v>11</v>
      </c>
      <c r="L209">
        <v>14</v>
      </c>
      <c r="M209">
        <v>1</v>
      </c>
      <c r="N209">
        <v>24</v>
      </c>
      <c r="O209">
        <v>1</v>
      </c>
      <c r="P209">
        <v>14</v>
      </c>
      <c r="Q209">
        <v>9.77</v>
      </c>
      <c r="R209">
        <v>234.48</v>
      </c>
      <c r="S209">
        <v>36731</v>
      </c>
      <c r="T209">
        <v>34077</v>
      </c>
      <c r="U209">
        <v>950</v>
      </c>
      <c r="V209">
        <v>33127</v>
      </c>
      <c r="W209" s="3">
        <f t="shared" si="21"/>
        <v>141.27857386557488</v>
      </c>
      <c r="X209">
        <v>128.22014138735929</v>
      </c>
      <c r="Y209" s="3">
        <v>128.22014138735929</v>
      </c>
      <c r="Z209" s="4">
        <f t="shared" si="22"/>
        <v>1.1018438471282404</v>
      </c>
      <c r="AA209" s="5">
        <f t="shared" si="23"/>
        <v>286.46825375924254</v>
      </c>
      <c r="AB209" s="5">
        <f t="shared" si="24"/>
        <v>9.7666666666666675</v>
      </c>
      <c r="AC209" s="5">
        <f t="shared" si="25"/>
        <v>30</v>
      </c>
      <c r="AD209" s="5">
        <f t="shared" si="26"/>
        <v>6</v>
      </c>
      <c r="AE209" s="5" t="str">
        <f t="shared" si="27"/>
        <v>Shortage</v>
      </c>
    </row>
    <row r="210" spans="1:31" x14ac:dyDescent="0.25">
      <c r="A210" t="s">
        <v>621</v>
      </c>
      <c r="B210" s="2">
        <v>46064</v>
      </c>
      <c r="C210" t="s">
        <v>622</v>
      </c>
      <c r="D210" t="s">
        <v>516</v>
      </c>
      <c r="E210" t="s">
        <v>517</v>
      </c>
      <c r="F210" t="s">
        <v>49</v>
      </c>
      <c r="G210" t="s">
        <v>36</v>
      </c>
      <c r="H210" t="s">
        <v>88</v>
      </c>
      <c r="I210">
        <v>8</v>
      </c>
      <c r="J210">
        <v>21</v>
      </c>
      <c r="K210">
        <v>7</v>
      </c>
      <c r="L210">
        <v>14</v>
      </c>
      <c r="M210">
        <v>0</v>
      </c>
      <c r="N210">
        <v>21</v>
      </c>
      <c r="O210">
        <v>0</v>
      </c>
      <c r="P210">
        <v>14</v>
      </c>
      <c r="Q210">
        <v>7.77</v>
      </c>
      <c r="R210">
        <v>163.16999999999999</v>
      </c>
      <c r="S210">
        <v>20556</v>
      </c>
      <c r="T210">
        <v>16786</v>
      </c>
      <c r="U210">
        <v>444</v>
      </c>
      <c r="V210">
        <v>16342</v>
      </c>
      <c r="W210" s="3">
        <f t="shared" si="21"/>
        <v>100.15321443892873</v>
      </c>
      <c r="X210">
        <v>118.4084783141387</v>
      </c>
      <c r="Y210" s="3">
        <v>118.4084783141387</v>
      </c>
      <c r="Z210" s="4">
        <f t="shared" si="22"/>
        <v>0.84582806792957332</v>
      </c>
      <c r="AA210" s="5">
        <f t="shared" si="23"/>
        <v>173.60243364892128</v>
      </c>
      <c r="AB210" s="5">
        <f t="shared" si="24"/>
        <v>7.7666666666666666</v>
      </c>
      <c r="AC210" s="5">
        <f t="shared" si="25"/>
        <v>23</v>
      </c>
      <c r="AD210" s="5">
        <f t="shared" si="26"/>
        <v>2</v>
      </c>
      <c r="AE210" s="5" t="str">
        <f t="shared" si="27"/>
        <v>Shortage</v>
      </c>
    </row>
    <row r="211" spans="1:31" x14ac:dyDescent="0.25">
      <c r="A211" t="s">
        <v>623</v>
      </c>
      <c r="B211" s="2">
        <v>46064</v>
      </c>
      <c r="C211" t="s">
        <v>624</v>
      </c>
      <c r="D211" t="s">
        <v>186</v>
      </c>
      <c r="E211" t="s">
        <v>187</v>
      </c>
      <c r="F211" t="s">
        <v>49</v>
      </c>
      <c r="G211" t="s">
        <v>36</v>
      </c>
      <c r="H211" t="s">
        <v>50</v>
      </c>
      <c r="I211">
        <v>8</v>
      </c>
      <c r="J211">
        <v>23</v>
      </c>
      <c r="K211">
        <v>8</v>
      </c>
      <c r="L211">
        <v>15</v>
      </c>
      <c r="M211">
        <v>0</v>
      </c>
      <c r="N211">
        <v>23</v>
      </c>
      <c r="O211">
        <v>0</v>
      </c>
      <c r="P211">
        <v>47</v>
      </c>
      <c r="Q211">
        <v>7.22</v>
      </c>
      <c r="R211">
        <v>166.06</v>
      </c>
      <c r="S211">
        <v>18123</v>
      </c>
      <c r="T211">
        <v>14093</v>
      </c>
      <c r="U211">
        <v>568</v>
      </c>
      <c r="V211">
        <v>13525</v>
      </c>
      <c r="W211" s="3">
        <f t="shared" si="21"/>
        <v>81.44646513308443</v>
      </c>
      <c r="X211">
        <v>118.4084783141387</v>
      </c>
      <c r="Y211" s="3">
        <v>118.4084783141387</v>
      </c>
      <c r="Z211" s="4">
        <f t="shared" si="22"/>
        <v>0.68784318735189098</v>
      </c>
      <c r="AA211" s="5">
        <f t="shared" si="23"/>
        <v>153.05491851621915</v>
      </c>
      <c r="AB211" s="5">
        <f t="shared" si="24"/>
        <v>7.2166666666666668</v>
      </c>
      <c r="AC211" s="5">
        <f t="shared" si="25"/>
        <v>22</v>
      </c>
      <c r="AD211" s="5">
        <f t="shared" si="26"/>
        <v>-1</v>
      </c>
      <c r="AE211" s="5" t="str">
        <f t="shared" si="27"/>
        <v>Surplus</v>
      </c>
    </row>
    <row r="212" spans="1:31" x14ac:dyDescent="0.25">
      <c r="A212" t="s">
        <v>625</v>
      </c>
      <c r="B212" s="2">
        <v>46064</v>
      </c>
      <c r="C212" t="s">
        <v>626</v>
      </c>
      <c r="D212" t="s">
        <v>111</v>
      </c>
      <c r="E212" t="s">
        <v>112</v>
      </c>
      <c r="F212" t="s">
        <v>49</v>
      </c>
      <c r="G212" t="s">
        <v>43</v>
      </c>
      <c r="H212" t="s">
        <v>44</v>
      </c>
      <c r="I212">
        <v>8</v>
      </c>
      <c r="J212">
        <v>24</v>
      </c>
      <c r="K212">
        <v>10</v>
      </c>
      <c r="L212">
        <v>14</v>
      </c>
      <c r="M212">
        <v>0</v>
      </c>
      <c r="N212">
        <v>24</v>
      </c>
      <c r="O212">
        <v>1</v>
      </c>
      <c r="P212">
        <v>57</v>
      </c>
      <c r="Q212">
        <v>7.05</v>
      </c>
      <c r="R212">
        <v>169.2</v>
      </c>
      <c r="S212">
        <v>24007</v>
      </c>
      <c r="T212">
        <v>19969</v>
      </c>
      <c r="U212">
        <v>289</v>
      </c>
      <c r="V212">
        <v>19680</v>
      </c>
      <c r="W212" s="3">
        <f t="shared" si="21"/>
        <v>116.31205673758866</v>
      </c>
      <c r="X212">
        <v>124.78240035826239</v>
      </c>
      <c r="Y212" s="3">
        <v>124.78240035826239</v>
      </c>
      <c r="Z212" s="4">
        <f t="shared" si="22"/>
        <v>0.93211908413081856</v>
      </c>
      <c r="AA212" s="5">
        <f t="shared" si="23"/>
        <v>192.39091355089798</v>
      </c>
      <c r="AB212" s="5">
        <f t="shared" si="24"/>
        <v>7.05</v>
      </c>
      <c r="AC212" s="5">
        <f t="shared" si="25"/>
        <v>28</v>
      </c>
      <c r="AD212" s="5">
        <f t="shared" si="26"/>
        <v>4</v>
      </c>
      <c r="AE212" s="5" t="str">
        <f t="shared" si="27"/>
        <v>Shortage</v>
      </c>
    </row>
    <row r="213" spans="1:31" x14ac:dyDescent="0.25">
      <c r="A213" t="s">
        <v>627</v>
      </c>
      <c r="B213" s="2">
        <v>46064</v>
      </c>
      <c r="C213" t="s">
        <v>628</v>
      </c>
      <c r="D213" t="s">
        <v>371</v>
      </c>
      <c r="E213" t="s">
        <v>372</v>
      </c>
      <c r="F213" t="s">
        <v>35</v>
      </c>
      <c r="G213" t="s">
        <v>79</v>
      </c>
      <c r="H213" t="s">
        <v>44</v>
      </c>
      <c r="I213">
        <v>8</v>
      </c>
      <c r="J213">
        <v>17</v>
      </c>
      <c r="K213">
        <v>7</v>
      </c>
      <c r="L213">
        <v>10</v>
      </c>
      <c r="M213">
        <v>1</v>
      </c>
      <c r="N213">
        <v>16</v>
      </c>
      <c r="O213">
        <v>0</v>
      </c>
      <c r="P213">
        <v>37</v>
      </c>
      <c r="Q213">
        <v>7.38</v>
      </c>
      <c r="R213">
        <v>118.08</v>
      </c>
      <c r="S213">
        <v>13016</v>
      </c>
      <c r="T213">
        <v>10662</v>
      </c>
      <c r="U213">
        <v>169</v>
      </c>
      <c r="V213">
        <v>10493</v>
      </c>
      <c r="W213" s="3">
        <f t="shared" si="21"/>
        <v>88.863482384823854</v>
      </c>
      <c r="X213">
        <v>100.6650131940286</v>
      </c>
      <c r="Y213" s="3">
        <v>100.6650131940286</v>
      </c>
      <c r="Z213" s="4">
        <f t="shared" si="22"/>
        <v>0.88276432461735566</v>
      </c>
      <c r="AA213" s="5">
        <f t="shared" si="23"/>
        <v>129.300137028861</v>
      </c>
      <c r="AB213" s="5">
        <f t="shared" si="24"/>
        <v>7.3833333333333329</v>
      </c>
      <c r="AC213" s="5">
        <f t="shared" si="25"/>
        <v>18</v>
      </c>
      <c r="AD213" s="5">
        <f t="shared" si="26"/>
        <v>2</v>
      </c>
      <c r="AE213" s="5" t="str">
        <f t="shared" si="27"/>
        <v>Shortage</v>
      </c>
    </row>
    <row r="214" spans="1:31" x14ac:dyDescent="0.25">
      <c r="A214" t="s">
        <v>629</v>
      </c>
      <c r="B214" s="2">
        <v>46065</v>
      </c>
      <c r="C214" t="s">
        <v>630</v>
      </c>
      <c r="D214" t="s">
        <v>82</v>
      </c>
      <c r="E214" t="s">
        <v>83</v>
      </c>
      <c r="F214" t="s">
        <v>55</v>
      </c>
      <c r="G214" t="s">
        <v>43</v>
      </c>
      <c r="H214" t="s">
        <v>88</v>
      </c>
      <c r="I214">
        <v>8</v>
      </c>
      <c r="J214">
        <v>19</v>
      </c>
      <c r="K214">
        <v>7</v>
      </c>
      <c r="L214">
        <v>12</v>
      </c>
      <c r="M214">
        <v>1</v>
      </c>
      <c r="N214">
        <v>18</v>
      </c>
      <c r="O214">
        <v>0</v>
      </c>
      <c r="P214">
        <v>39</v>
      </c>
      <c r="Q214">
        <v>7.35</v>
      </c>
      <c r="R214">
        <v>132.30000000000001</v>
      </c>
      <c r="S214">
        <v>12267</v>
      </c>
      <c r="T214">
        <v>11329</v>
      </c>
      <c r="U214">
        <v>155</v>
      </c>
      <c r="V214">
        <v>11174</v>
      </c>
      <c r="W214" s="3">
        <f t="shared" si="21"/>
        <v>84.459561602418745</v>
      </c>
      <c r="X214">
        <v>109.38855294136761</v>
      </c>
      <c r="Y214" s="3">
        <v>109.38855294136761</v>
      </c>
      <c r="Z214" s="4">
        <f t="shared" si="22"/>
        <v>0.77210603240806353</v>
      </c>
      <c r="AA214" s="5">
        <f t="shared" si="23"/>
        <v>112.14153282176726</v>
      </c>
      <c r="AB214" s="5">
        <f t="shared" si="24"/>
        <v>7.35</v>
      </c>
      <c r="AC214" s="5">
        <f t="shared" si="25"/>
        <v>16</v>
      </c>
      <c r="AD214" s="5">
        <f t="shared" si="26"/>
        <v>-2</v>
      </c>
      <c r="AE214" s="5" t="str">
        <f t="shared" si="27"/>
        <v>Surplus</v>
      </c>
    </row>
    <row r="215" spans="1:31" x14ac:dyDescent="0.25">
      <c r="A215" t="s">
        <v>631</v>
      </c>
      <c r="B215" s="2">
        <v>46067</v>
      </c>
      <c r="C215" t="s">
        <v>632</v>
      </c>
      <c r="D215" t="s">
        <v>95</v>
      </c>
      <c r="E215" t="s">
        <v>96</v>
      </c>
      <c r="F215" t="s">
        <v>49</v>
      </c>
      <c r="G215" t="s">
        <v>43</v>
      </c>
      <c r="H215" t="s">
        <v>88</v>
      </c>
      <c r="I215">
        <v>8</v>
      </c>
      <c r="J215">
        <v>22</v>
      </c>
      <c r="K215">
        <v>10</v>
      </c>
      <c r="L215">
        <v>12</v>
      </c>
      <c r="M215">
        <v>1</v>
      </c>
      <c r="N215">
        <v>21</v>
      </c>
      <c r="O215">
        <v>0</v>
      </c>
      <c r="P215">
        <v>57</v>
      </c>
      <c r="Q215">
        <v>7.05</v>
      </c>
      <c r="R215">
        <v>148.05000000000001</v>
      </c>
      <c r="S215">
        <v>22603</v>
      </c>
      <c r="T215">
        <v>16538</v>
      </c>
      <c r="U215">
        <v>124</v>
      </c>
      <c r="V215">
        <v>16414</v>
      </c>
      <c r="W215" s="3">
        <f t="shared" si="21"/>
        <v>110.86795001688618</v>
      </c>
      <c r="X215">
        <v>124.78240035826239</v>
      </c>
      <c r="Y215" s="3">
        <v>124.78240035826239</v>
      </c>
      <c r="Z215" s="4">
        <f t="shared" si="22"/>
        <v>0.88849028147057219</v>
      </c>
      <c r="AA215" s="5">
        <f t="shared" si="23"/>
        <v>181.13932682096666</v>
      </c>
      <c r="AB215" s="5">
        <f t="shared" si="24"/>
        <v>7.05</v>
      </c>
      <c r="AC215" s="5">
        <f t="shared" si="25"/>
        <v>26</v>
      </c>
      <c r="AD215" s="5">
        <f t="shared" si="26"/>
        <v>5</v>
      </c>
      <c r="AE215" s="5" t="str">
        <f t="shared" si="27"/>
        <v>Shortage</v>
      </c>
    </row>
    <row r="216" spans="1:31" x14ac:dyDescent="0.25">
      <c r="A216" t="s">
        <v>633</v>
      </c>
      <c r="B216" s="2">
        <v>46067</v>
      </c>
      <c r="C216" t="s">
        <v>634</v>
      </c>
      <c r="D216" t="s">
        <v>466</v>
      </c>
      <c r="E216" t="s">
        <v>467</v>
      </c>
      <c r="F216" t="s">
        <v>55</v>
      </c>
      <c r="G216" t="s">
        <v>43</v>
      </c>
      <c r="H216" t="s">
        <v>50</v>
      </c>
      <c r="I216">
        <v>10</v>
      </c>
      <c r="J216">
        <v>15</v>
      </c>
      <c r="K216">
        <v>7</v>
      </c>
      <c r="L216">
        <v>8</v>
      </c>
      <c r="M216">
        <v>0</v>
      </c>
      <c r="N216">
        <v>15</v>
      </c>
      <c r="O216">
        <v>0</v>
      </c>
      <c r="P216">
        <v>22</v>
      </c>
      <c r="Q216">
        <v>9.6300000000000008</v>
      </c>
      <c r="R216">
        <v>144.44999999999999</v>
      </c>
      <c r="S216">
        <v>16948</v>
      </c>
      <c r="T216">
        <v>15934</v>
      </c>
      <c r="U216">
        <v>344</v>
      </c>
      <c r="V216">
        <v>15590</v>
      </c>
      <c r="W216" s="3">
        <f t="shared" si="21"/>
        <v>107.92661820699205</v>
      </c>
      <c r="X216">
        <v>109.38855294136761</v>
      </c>
      <c r="Y216" s="3">
        <v>109.38855294136761</v>
      </c>
      <c r="Z216" s="4">
        <f t="shared" si="22"/>
        <v>0.98663539561439162</v>
      </c>
      <c r="AA216" s="5">
        <f t="shared" si="23"/>
        <v>154.93394458818875</v>
      </c>
      <c r="AB216" s="5">
        <f t="shared" si="24"/>
        <v>9.6333333333333329</v>
      </c>
      <c r="AC216" s="5">
        <f t="shared" si="25"/>
        <v>17</v>
      </c>
      <c r="AD216" s="5">
        <f t="shared" si="26"/>
        <v>2</v>
      </c>
      <c r="AE216" s="5" t="str">
        <f t="shared" si="27"/>
        <v>Shortage</v>
      </c>
    </row>
    <row r="217" spans="1:31" x14ac:dyDescent="0.25">
      <c r="A217" t="s">
        <v>635</v>
      </c>
      <c r="B217" s="2">
        <v>46067</v>
      </c>
      <c r="C217" t="s">
        <v>636</v>
      </c>
      <c r="D217" t="s">
        <v>142</v>
      </c>
      <c r="E217" t="s">
        <v>143</v>
      </c>
      <c r="F217" t="s">
        <v>42</v>
      </c>
      <c r="G217" t="s">
        <v>79</v>
      </c>
      <c r="H217" t="s">
        <v>37</v>
      </c>
      <c r="I217">
        <v>9</v>
      </c>
      <c r="J217">
        <v>18</v>
      </c>
      <c r="K217">
        <v>7</v>
      </c>
      <c r="L217">
        <v>11</v>
      </c>
      <c r="M217">
        <v>1</v>
      </c>
      <c r="N217">
        <v>17</v>
      </c>
      <c r="O217">
        <v>0</v>
      </c>
      <c r="P217">
        <v>22</v>
      </c>
      <c r="Q217">
        <v>8.6300000000000008</v>
      </c>
      <c r="R217">
        <v>146.71</v>
      </c>
      <c r="S217">
        <v>15895</v>
      </c>
      <c r="T217">
        <v>13537</v>
      </c>
      <c r="U217">
        <v>357</v>
      </c>
      <c r="V217">
        <v>13180</v>
      </c>
      <c r="W217" s="3">
        <f t="shared" si="21"/>
        <v>89.837093585985954</v>
      </c>
      <c r="X217">
        <v>99.399922570654283</v>
      </c>
      <c r="Y217" s="3">
        <v>99.399922570654283</v>
      </c>
      <c r="Z217" s="4">
        <f t="shared" si="22"/>
        <v>0.9037944020743981</v>
      </c>
      <c r="AA217" s="5">
        <f t="shared" si="23"/>
        <v>159.90958130477117</v>
      </c>
      <c r="AB217" s="5">
        <f t="shared" si="24"/>
        <v>8.6333333333333329</v>
      </c>
      <c r="AC217" s="5">
        <f t="shared" si="25"/>
        <v>19</v>
      </c>
      <c r="AD217" s="5">
        <f t="shared" si="26"/>
        <v>2</v>
      </c>
      <c r="AE217" s="5" t="str">
        <f t="shared" si="27"/>
        <v>Shortage</v>
      </c>
    </row>
    <row r="218" spans="1:31" x14ac:dyDescent="0.25">
      <c r="A218" t="s">
        <v>637</v>
      </c>
      <c r="B218" s="2">
        <v>46068</v>
      </c>
      <c r="C218" t="s">
        <v>638</v>
      </c>
      <c r="D218" t="s">
        <v>312</v>
      </c>
      <c r="E218" t="s">
        <v>313</v>
      </c>
      <c r="F218" t="s">
        <v>49</v>
      </c>
      <c r="G218" t="s">
        <v>36</v>
      </c>
      <c r="H218" t="s">
        <v>37</v>
      </c>
      <c r="I218">
        <v>9</v>
      </c>
      <c r="J218">
        <v>22</v>
      </c>
      <c r="K218">
        <v>7</v>
      </c>
      <c r="L218">
        <v>15</v>
      </c>
      <c r="M218">
        <v>1</v>
      </c>
      <c r="N218">
        <v>21</v>
      </c>
      <c r="O218">
        <v>1</v>
      </c>
      <c r="P218">
        <v>46</v>
      </c>
      <c r="Q218">
        <v>8.23</v>
      </c>
      <c r="R218">
        <v>172.83</v>
      </c>
      <c r="S218">
        <v>19466</v>
      </c>
      <c r="T218">
        <v>16085</v>
      </c>
      <c r="U218">
        <v>509</v>
      </c>
      <c r="V218">
        <v>15576</v>
      </c>
      <c r="W218" s="3">
        <f t="shared" si="21"/>
        <v>90.123242492622808</v>
      </c>
      <c r="X218">
        <v>118.4084783141387</v>
      </c>
      <c r="Y218" s="3">
        <v>118.4084783141387</v>
      </c>
      <c r="Z218" s="4">
        <f t="shared" si="22"/>
        <v>0.76112153264502791</v>
      </c>
      <c r="AA218" s="5">
        <f t="shared" si="23"/>
        <v>164.39701174401156</v>
      </c>
      <c r="AB218" s="5">
        <f t="shared" si="24"/>
        <v>8.2333333333333325</v>
      </c>
      <c r="AC218" s="5">
        <f t="shared" si="25"/>
        <v>20</v>
      </c>
      <c r="AD218" s="5">
        <f t="shared" si="26"/>
        <v>-1</v>
      </c>
      <c r="AE218" s="5" t="str">
        <f t="shared" si="27"/>
        <v>Surplus</v>
      </c>
    </row>
    <row r="219" spans="1:31" x14ac:dyDescent="0.25">
      <c r="A219" t="s">
        <v>639</v>
      </c>
      <c r="B219" s="2">
        <v>46068</v>
      </c>
      <c r="C219" t="s">
        <v>640</v>
      </c>
      <c r="D219" t="s">
        <v>346</v>
      </c>
      <c r="E219" t="s">
        <v>347</v>
      </c>
      <c r="F219" t="s">
        <v>55</v>
      </c>
      <c r="G219" t="s">
        <v>36</v>
      </c>
      <c r="H219" t="s">
        <v>74</v>
      </c>
      <c r="I219">
        <v>8</v>
      </c>
      <c r="J219">
        <v>14</v>
      </c>
      <c r="K219">
        <v>4</v>
      </c>
      <c r="L219">
        <v>10</v>
      </c>
      <c r="M219">
        <v>1</v>
      </c>
      <c r="N219">
        <v>13</v>
      </c>
      <c r="O219">
        <v>1</v>
      </c>
      <c r="P219">
        <v>45</v>
      </c>
      <c r="Q219">
        <v>7.25</v>
      </c>
      <c r="R219">
        <v>94.25</v>
      </c>
      <c r="S219">
        <v>11743</v>
      </c>
      <c r="T219">
        <v>8717</v>
      </c>
      <c r="U219">
        <v>338</v>
      </c>
      <c r="V219">
        <v>8379</v>
      </c>
      <c r="W219" s="3">
        <f t="shared" si="21"/>
        <v>88.901856763925736</v>
      </c>
      <c r="X219">
        <v>108.32817332835501</v>
      </c>
      <c r="Y219" s="3">
        <v>108.32817332835501</v>
      </c>
      <c r="Z219" s="4">
        <f t="shared" si="22"/>
        <v>0.82067161323263615</v>
      </c>
      <c r="AA219" s="5">
        <f t="shared" si="23"/>
        <v>108.40208635666396</v>
      </c>
      <c r="AB219" s="5">
        <f t="shared" si="24"/>
        <v>7.25</v>
      </c>
      <c r="AC219" s="5">
        <f t="shared" si="25"/>
        <v>15</v>
      </c>
      <c r="AD219" s="5">
        <f t="shared" si="26"/>
        <v>2</v>
      </c>
      <c r="AE219" s="5" t="str">
        <f t="shared" si="27"/>
        <v>Shortage</v>
      </c>
    </row>
    <row r="220" spans="1:31" x14ac:dyDescent="0.25">
      <c r="A220" t="s">
        <v>641</v>
      </c>
      <c r="B220" s="2">
        <v>46068</v>
      </c>
      <c r="C220" t="s">
        <v>642</v>
      </c>
      <c r="D220" t="s">
        <v>528</v>
      </c>
      <c r="E220" t="s">
        <v>529</v>
      </c>
      <c r="F220" t="s">
        <v>68</v>
      </c>
      <c r="G220" t="s">
        <v>43</v>
      </c>
      <c r="H220" t="s">
        <v>44</v>
      </c>
      <c r="I220">
        <v>8</v>
      </c>
      <c r="J220">
        <v>25</v>
      </c>
      <c r="K220">
        <v>11</v>
      </c>
      <c r="L220">
        <v>14</v>
      </c>
      <c r="M220">
        <v>1</v>
      </c>
      <c r="N220">
        <v>24</v>
      </c>
      <c r="O220">
        <v>0</v>
      </c>
      <c r="P220">
        <v>42</v>
      </c>
      <c r="Q220">
        <v>7.3</v>
      </c>
      <c r="R220">
        <v>175.2</v>
      </c>
      <c r="S220">
        <v>27811</v>
      </c>
      <c r="T220">
        <v>23650</v>
      </c>
      <c r="U220">
        <v>548</v>
      </c>
      <c r="V220">
        <v>23102</v>
      </c>
      <c r="W220" s="3">
        <f t="shared" si="21"/>
        <v>131.86073059360731</v>
      </c>
      <c r="X220">
        <v>128.22014138735929</v>
      </c>
      <c r="Y220" s="3">
        <v>128.22014138735929</v>
      </c>
      <c r="Z220" s="4">
        <f t="shared" si="22"/>
        <v>1.0283932708766061</v>
      </c>
      <c r="AA220" s="5">
        <f t="shared" si="23"/>
        <v>216.90040035115555</v>
      </c>
      <c r="AB220" s="5">
        <f t="shared" si="24"/>
        <v>7.3</v>
      </c>
      <c r="AC220" s="5">
        <f t="shared" si="25"/>
        <v>30</v>
      </c>
      <c r="AD220" s="5">
        <f t="shared" si="26"/>
        <v>6</v>
      </c>
      <c r="AE220" s="5" t="str">
        <f t="shared" si="27"/>
        <v>Shortage</v>
      </c>
    </row>
    <row r="221" spans="1:31" x14ac:dyDescent="0.25">
      <c r="A221" t="s">
        <v>643</v>
      </c>
      <c r="B221" s="2">
        <v>46068</v>
      </c>
      <c r="C221" t="s">
        <v>644</v>
      </c>
      <c r="D221" t="s">
        <v>355</v>
      </c>
      <c r="E221" t="s">
        <v>356</v>
      </c>
      <c r="F221" t="s">
        <v>42</v>
      </c>
      <c r="G221" t="s">
        <v>79</v>
      </c>
      <c r="H221" t="s">
        <v>37</v>
      </c>
      <c r="I221">
        <v>8</v>
      </c>
      <c r="J221">
        <v>14</v>
      </c>
      <c r="K221">
        <v>7</v>
      </c>
      <c r="L221">
        <v>7</v>
      </c>
      <c r="M221">
        <v>0</v>
      </c>
      <c r="N221">
        <v>14</v>
      </c>
      <c r="O221">
        <v>0</v>
      </c>
      <c r="P221">
        <v>37</v>
      </c>
      <c r="Q221">
        <v>7.38</v>
      </c>
      <c r="R221">
        <v>103.32</v>
      </c>
      <c r="S221">
        <v>13172</v>
      </c>
      <c r="T221">
        <v>10525</v>
      </c>
      <c r="U221">
        <v>255</v>
      </c>
      <c r="V221">
        <v>10270</v>
      </c>
      <c r="W221" s="3">
        <f t="shared" si="21"/>
        <v>99.399922570654283</v>
      </c>
      <c r="X221">
        <v>99.399922570654283</v>
      </c>
      <c r="Y221" s="3">
        <v>99.399922570654283</v>
      </c>
      <c r="Z221" s="4">
        <f t="shared" si="22"/>
        <v>1</v>
      </c>
      <c r="AA221" s="5">
        <f t="shared" si="23"/>
        <v>132.51519376825706</v>
      </c>
      <c r="AB221" s="5">
        <f t="shared" si="24"/>
        <v>7.3833333333333329</v>
      </c>
      <c r="AC221" s="5">
        <f t="shared" si="25"/>
        <v>18</v>
      </c>
      <c r="AD221" s="5">
        <f t="shared" si="26"/>
        <v>4</v>
      </c>
      <c r="AE221" s="5" t="str">
        <f t="shared" si="27"/>
        <v>Shortage</v>
      </c>
    </row>
    <row r="222" spans="1:31" x14ac:dyDescent="0.25">
      <c r="A222" t="s">
        <v>645</v>
      </c>
      <c r="B222" s="2">
        <v>46070</v>
      </c>
      <c r="C222" t="s">
        <v>646</v>
      </c>
      <c r="D222" t="s">
        <v>395</v>
      </c>
      <c r="E222" t="s">
        <v>143</v>
      </c>
      <c r="F222" t="s">
        <v>49</v>
      </c>
      <c r="G222" t="s">
        <v>36</v>
      </c>
      <c r="H222" t="s">
        <v>74</v>
      </c>
      <c r="I222">
        <v>8</v>
      </c>
      <c r="J222">
        <v>20</v>
      </c>
      <c r="K222">
        <v>6</v>
      </c>
      <c r="L222">
        <v>14</v>
      </c>
      <c r="M222">
        <v>0</v>
      </c>
      <c r="N222">
        <v>20</v>
      </c>
      <c r="O222">
        <v>2</v>
      </c>
      <c r="P222">
        <v>12</v>
      </c>
      <c r="Q222">
        <v>7.8</v>
      </c>
      <c r="R222">
        <v>156</v>
      </c>
      <c r="S222">
        <v>20047</v>
      </c>
      <c r="T222">
        <v>17316</v>
      </c>
      <c r="U222">
        <v>511</v>
      </c>
      <c r="V222">
        <v>16805</v>
      </c>
      <c r="W222" s="3">
        <f t="shared" si="21"/>
        <v>107.72435897435898</v>
      </c>
      <c r="X222">
        <v>118.4084783141387</v>
      </c>
      <c r="Y222" s="3">
        <v>118.4084783141387</v>
      </c>
      <c r="Z222" s="4">
        <f t="shared" si="22"/>
        <v>0.90976896678433228</v>
      </c>
      <c r="AA222" s="5">
        <f t="shared" si="23"/>
        <v>169.30375497956436</v>
      </c>
      <c r="AB222" s="5">
        <f t="shared" si="24"/>
        <v>7.8</v>
      </c>
      <c r="AC222" s="5">
        <f t="shared" si="25"/>
        <v>22</v>
      </c>
      <c r="AD222" s="5">
        <f t="shared" si="26"/>
        <v>2</v>
      </c>
      <c r="AE222" s="5" t="str">
        <f t="shared" si="27"/>
        <v>Shortage</v>
      </c>
    </row>
    <row r="223" spans="1:31" x14ac:dyDescent="0.25">
      <c r="A223" t="s">
        <v>647</v>
      </c>
      <c r="B223" s="2">
        <v>46070</v>
      </c>
      <c r="C223" t="s">
        <v>648</v>
      </c>
      <c r="D223" t="s">
        <v>103</v>
      </c>
      <c r="E223" t="s">
        <v>104</v>
      </c>
      <c r="F223" t="s">
        <v>55</v>
      </c>
      <c r="G223" t="s">
        <v>43</v>
      </c>
      <c r="H223" t="s">
        <v>37</v>
      </c>
      <c r="I223">
        <v>8</v>
      </c>
      <c r="J223">
        <v>18</v>
      </c>
      <c r="K223">
        <v>6</v>
      </c>
      <c r="L223">
        <v>12</v>
      </c>
      <c r="M223">
        <v>0</v>
      </c>
      <c r="N223">
        <v>18</v>
      </c>
      <c r="O223">
        <v>0</v>
      </c>
      <c r="P223">
        <v>27</v>
      </c>
      <c r="Q223">
        <v>7.55</v>
      </c>
      <c r="R223">
        <v>135.9</v>
      </c>
      <c r="S223">
        <v>16916</v>
      </c>
      <c r="T223">
        <v>15996</v>
      </c>
      <c r="U223">
        <v>445</v>
      </c>
      <c r="V223">
        <v>15551</v>
      </c>
      <c r="W223" s="3">
        <f t="shared" si="21"/>
        <v>114.42972774098601</v>
      </c>
      <c r="X223">
        <v>109.38855294136761</v>
      </c>
      <c r="Y223" s="3">
        <v>109.38855294136761</v>
      </c>
      <c r="Z223" s="4">
        <f t="shared" si="22"/>
        <v>1.0460850305088183</v>
      </c>
      <c r="AA223" s="5">
        <f t="shared" si="23"/>
        <v>154.64140940841403</v>
      </c>
      <c r="AB223" s="5">
        <f t="shared" si="24"/>
        <v>7.55</v>
      </c>
      <c r="AC223" s="5">
        <f t="shared" si="25"/>
        <v>21</v>
      </c>
      <c r="AD223" s="5">
        <f t="shared" si="26"/>
        <v>3</v>
      </c>
      <c r="AE223" s="5" t="str">
        <f t="shared" si="27"/>
        <v>Shortage</v>
      </c>
    </row>
    <row r="224" spans="1:31" x14ac:dyDescent="0.25">
      <c r="A224" t="s">
        <v>649</v>
      </c>
      <c r="B224" s="2">
        <v>46070</v>
      </c>
      <c r="C224" t="s">
        <v>650</v>
      </c>
      <c r="D224" t="s">
        <v>47</v>
      </c>
      <c r="E224" t="s">
        <v>48</v>
      </c>
      <c r="F224" t="s">
        <v>68</v>
      </c>
      <c r="G224" t="s">
        <v>43</v>
      </c>
      <c r="H224" t="s">
        <v>37</v>
      </c>
      <c r="I224">
        <v>10</v>
      </c>
      <c r="J224">
        <v>26</v>
      </c>
      <c r="K224">
        <v>9</v>
      </c>
      <c r="L224">
        <v>17</v>
      </c>
      <c r="M224">
        <v>0</v>
      </c>
      <c r="N224">
        <v>26</v>
      </c>
      <c r="O224">
        <v>0</v>
      </c>
      <c r="P224">
        <v>11</v>
      </c>
      <c r="Q224">
        <v>9.82</v>
      </c>
      <c r="R224">
        <v>255.32</v>
      </c>
      <c r="S224">
        <v>25364</v>
      </c>
      <c r="T224">
        <v>24386</v>
      </c>
      <c r="U224">
        <v>786</v>
      </c>
      <c r="V224">
        <v>23600</v>
      </c>
      <c r="W224" s="3">
        <f t="shared" si="21"/>
        <v>92.43302522324926</v>
      </c>
      <c r="X224">
        <v>128.22014138735929</v>
      </c>
      <c r="Y224" s="3">
        <v>128.22014138735929</v>
      </c>
      <c r="Z224" s="4">
        <f t="shared" si="22"/>
        <v>0.72089317811625697</v>
      </c>
      <c r="AA224" s="5">
        <f t="shared" si="23"/>
        <v>197.81603518416128</v>
      </c>
      <c r="AB224" s="5">
        <f t="shared" si="24"/>
        <v>9.8166666666666664</v>
      </c>
      <c r="AC224" s="5">
        <f t="shared" si="25"/>
        <v>21</v>
      </c>
      <c r="AD224" s="5">
        <f t="shared" si="26"/>
        <v>-5</v>
      </c>
      <c r="AE224" s="5" t="str">
        <f t="shared" si="27"/>
        <v>Surplus</v>
      </c>
    </row>
    <row r="225" spans="1:31" x14ac:dyDescent="0.25">
      <c r="A225" t="s">
        <v>651</v>
      </c>
      <c r="B225" s="2">
        <v>46071</v>
      </c>
      <c r="C225" t="s">
        <v>652</v>
      </c>
      <c r="D225" t="s">
        <v>516</v>
      </c>
      <c r="E225" t="s">
        <v>517</v>
      </c>
      <c r="F225" t="s">
        <v>55</v>
      </c>
      <c r="G225" t="s">
        <v>43</v>
      </c>
      <c r="H225" t="s">
        <v>88</v>
      </c>
      <c r="I225">
        <v>8</v>
      </c>
      <c r="J225">
        <v>17</v>
      </c>
      <c r="K225">
        <v>8</v>
      </c>
      <c r="L225">
        <v>9</v>
      </c>
      <c r="M225">
        <v>1</v>
      </c>
      <c r="N225">
        <v>16</v>
      </c>
      <c r="O225">
        <v>0</v>
      </c>
      <c r="P225">
        <v>28</v>
      </c>
      <c r="Q225">
        <v>7.53</v>
      </c>
      <c r="R225">
        <v>120.48</v>
      </c>
      <c r="S225">
        <v>13555</v>
      </c>
      <c r="T225">
        <v>12590</v>
      </c>
      <c r="U225">
        <v>345</v>
      </c>
      <c r="V225">
        <v>12245</v>
      </c>
      <c r="W225" s="3">
        <f t="shared" si="21"/>
        <v>101.63512616201859</v>
      </c>
      <c r="X225">
        <v>109.38855294136761</v>
      </c>
      <c r="Y225" s="3">
        <v>109.38855294136761</v>
      </c>
      <c r="Z225" s="4">
        <f t="shared" si="22"/>
        <v>0.9291203094760303</v>
      </c>
      <c r="AA225" s="5">
        <f t="shared" si="23"/>
        <v>123.91607380769993</v>
      </c>
      <c r="AB225" s="5">
        <f t="shared" si="24"/>
        <v>7.5333333333333332</v>
      </c>
      <c r="AC225" s="5">
        <f t="shared" si="25"/>
        <v>17</v>
      </c>
      <c r="AD225" s="5">
        <f t="shared" si="26"/>
        <v>1</v>
      </c>
      <c r="AE225" s="5" t="str">
        <f t="shared" si="27"/>
        <v>Shortage</v>
      </c>
    </row>
    <row r="226" spans="1:31" x14ac:dyDescent="0.25">
      <c r="A226" t="s">
        <v>653</v>
      </c>
      <c r="B226" s="2">
        <v>46071</v>
      </c>
      <c r="C226" t="s">
        <v>654</v>
      </c>
      <c r="D226" t="s">
        <v>320</v>
      </c>
      <c r="E226" t="s">
        <v>321</v>
      </c>
      <c r="F226" t="s">
        <v>42</v>
      </c>
      <c r="G226" t="s">
        <v>79</v>
      </c>
      <c r="H226" t="s">
        <v>74</v>
      </c>
      <c r="I226">
        <v>9</v>
      </c>
      <c r="J226">
        <v>19</v>
      </c>
      <c r="K226">
        <v>8</v>
      </c>
      <c r="L226">
        <v>11</v>
      </c>
      <c r="M226">
        <v>0</v>
      </c>
      <c r="N226">
        <v>19</v>
      </c>
      <c r="O226">
        <v>3</v>
      </c>
      <c r="P226">
        <v>59</v>
      </c>
      <c r="Q226">
        <v>8.02</v>
      </c>
      <c r="R226">
        <v>152.38</v>
      </c>
      <c r="S226">
        <v>18741</v>
      </c>
      <c r="T226">
        <v>14970</v>
      </c>
      <c r="U226">
        <v>301</v>
      </c>
      <c r="V226">
        <v>14669</v>
      </c>
      <c r="W226" s="3">
        <f t="shared" si="21"/>
        <v>96.265914161963522</v>
      </c>
      <c r="X226">
        <v>99.399922570654283</v>
      </c>
      <c r="Y226" s="3">
        <v>99.399922570654283</v>
      </c>
      <c r="Z226" s="4">
        <f t="shared" si="22"/>
        <v>0.96847071579494359</v>
      </c>
      <c r="AA226" s="5">
        <f t="shared" si="23"/>
        <v>188.54139435248294</v>
      </c>
      <c r="AB226" s="5">
        <f t="shared" si="24"/>
        <v>8.0166666666666675</v>
      </c>
      <c r="AC226" s="5">
        <f t="shared" si="25"/>
        <v>24</v>
      </c>
      <c r="AD226" s="5">
        <f t="shared" si="26"/>
        <v>5</v>
      </c>
      <c r="AE226" s="5" t="str">
        <f t="shared" si="27"/>
        <v>Shortage</v>
      </c>
    </row>
    <row r="227" spans="1:31" x14ac:dyDescent="0.25">
      <c r="A227" t="s">
        <v>655</v>
      </c>
      <c r="B227" s="2">
        <v>46072</v>
      </c>
      <c r="C227" t="s">
        <v>656</v>
      </c>
      <c r="D227" t="s">
        <v>402</v>
      </c>
      <c r="E227" t="s">
        <v>403</v>
      </c>
      <c r="F227" t="s">
        <v>55</v>
      </c>
      <c r="G227" t="s">
        <v>36</v>
      </c>
      <c r="H227" t="s">
        <v>44</v>
      </c>
      <c r="I227">
        <v>8</v>
      </c>
      <c r="J227">
        <v>15</v>
      </c>
      <c r="K227">
        <v>5</v>
      </c>
      <c r="L227">
        <v>10</v>
      </c>
      <c r="M227">
        <v>0</v>
      </c>
      <c r="N227">
        <v>15</v>
      </c>
      <c r="O227">
        <v>0</v>
      </c>
      <c r="P227">
        <v>60</v>
      </c>
      <c r="Q227">
        <v>7</v>
      </c>
      <c r="R227">
        <v>105</v>
      </c>
      <c r="S227">
        <v>14578</v>
      </c>
      <c r="T227">
        <v>11300</v>
      </c>
      <c r="U227">
        <v>323</v>
      </c>
      <c r="V227">
        <v>10977</v>
      </c>
      <c r="W227" s="3">
        <f t="shared" si="21"/>
        <v>104.54285714285714</v>
      </c>
      <c r="X227">
        <v>108.32817332835501</v>
      </c>
      <c r="Y227" s="3">
        <v>108.32817332835501</v>
      </c>
      <c r="Z227" s="4">
        <f t="shared" si="22"/>
        <v>0.96505695546047709</v>
      </c>
      <c r="AA227" s="5">
        <f t="shared" si="23"/>
        <v>134.57256364706183</v>
      </c>
      <c r="AB227" s="5">
        <f t="shared" si="24"/>
        <v>7</v>
      </c>
      <c r="AC227" s="5">
        <f t="shared" si="25"/>
        <v>20</v>
      </c>
      <c r="AD227" s="5">
        <f t="shared" si="26"/>
        <v>5</v>
      </c>
      <c r="AE227" s="5" t="str">
        <f t="shared" si="27"/>
        <v>Shortage</v>
      </c>
    </row>
    <row r="228" spans="1:31" x14ac:dyDescent="0.25">
      <c r="A228" t="s">
        <v>657</v>
      </c>
      <c r="B228" s="2">
        <v>46072</v>
      </c>
      <c r="C228" t="s">
        <v>658</v>
      </c>
      <c r="D228" t="s">
        <v>66</v>
      </c>
      <c r="E228" t="s">
        <v>67</v>
      </c>
      <c r="F228" t="s">
        <v>35</v>
      </c>
      <c r="G228" t="s">
        <v>36</v>
      </c>
      <c r="H228" t="s">
        <v>44</v>
      </c>
      <c r="I228">
        <v>8</v>
      </c>
      <c r="J228">
        <v>19</v>
      </c>
      <c r="K228">
        <v>6</v>
      </c>
      <c r="L228">
        <v>13</v>
      </c>
      <c r="M228">
        <v>0</v>
      </c>
      <c r="N228">
        <v>19</v>
      </c>
      <c r="O228">
        <v>2</v>
      </c>
      <c r="P228">
        <v>27</v>
      </c>
      <c r="Q228">
        <v>7.55</v>
      </c>
      <c r="R228">
        <v>143.44999999999999</v>
      </c>
      <c r="S228">
        <v>15877</v>
      </c>
      <c r="T228">
        <v>13194</v>
      </c>
      <c r="U228">
        <v>241</v>
      </c>
      <c r="V228">
        <v>12953</v>
      </c>
      <c r="W228" s="3">
        <f t="shared" si="21"/>
        <v>90.296270477518306</v>
      </c>
      <c r="X228">
        <v>114.1563708384419</v>
      </c>
      <c r="Y228" s="3">
        <v>114.1563708384419</v>
      </c>
      <c r="Z228" s="4">
        <f t="shared" si="22"/>
        <v>0.79098757094607319</v>
      </c>
      <c r="AA228" s="5">
        <f t="shared" si="23"/>
        <v>139.08115581625916</v>
      </c>
      <c r="AB228" s="5">
        <f t="shared" si="24"/>
        <v>7.55</v>
      </c>
      <c r="AC228" s="5">
        <f t="shared" si="25"/>
        <v>19</v>
      </c>
      <c r="AD228" s="5">
        <f t="shared" si="26"/>
        <v>0</v>
      </c>
      <c r="AE228" s="5" t="str">
        <f t="shared" si="27"/>
        <v>Balanced</v>
      </c>
    </row>
    <row r="229" spans="1:31" x14ac:dyDescent="0.25">
      <c r="A229" t="s">
        <v>659</v>
      </c>
      <c r="B229" s="2">
        <v>46073</v>
      </c>
      <c r="C229" t="s">
        <v>660</v>
      </c>
      <c r="D229" t="s">
        <v>236</v>
      </c>
      <c r="E229" t="s">
        <v>237</v>
      </c>
      <c r="F229" t="s">
        <v>55</v>
      </c>
      <c r="G229" t="s">
        <v>43</v>
      </c>
      <c r="H229" t="s">
        <v>44</v>
      </c>
      <c r="I229">
        <v>8</v>
      </c>
      <c r="J229">
        <v>19</v>
      </c>
      <c r="K229">
        <v>9</v>
      </c>
      <c r="L229">
        <v>10</v>
      </c>
      <c r="M229">
        <v>1</v>
      </c>
      <c r="N229">
        <v>18</v>
      </c>
      <c r="O229">
        <v>0</v>
      </c>
      <c r="P229">
        <v>7</v>
      </c>
      <c r="Q229">
        <v>7.88</v>
      </c>
      <c r="R229">
        <v>141.84</v>
      </c>
      <c r="S229">
        <v>16116</v>
      </c>
      <c r="T229">
        <v>17686</v>
      </c>
      <c r="U229">
        <v>403</v>
      </c>
      <c r="V229">
        <v>17283</v>
      </c>
      <c r="W229" s="3">
        <f t="shared" si="21"/>
        <v>121.84856175972926</v>
      </c>
      <c r="X229">
        <v>109.38855294136761</v>
      </c>
      <c r="Y229" s="3">
        <v>109.38855294136761</v>
      </c>
      <c r="Z229" s="4">
        <f t="shared" si="22"/>
        <v>1.1139059662398152</v>
      </c>
      <c r="AA229" s="5">
        <f t="shared" si="23"/>
        <v>147.32802991404589</v>
      </c>
      <c r="AB229" s="5">
        <f t="shared" si="24"/>
        <v>7.8833333333333337</v>
      </c>
      <c r="AC229" s="5">
        <f t="shared" si="25"/>
        <v>19</v>
      </c>
      <c r="AD229" s="5">
        <f t="shared" si="26"/>
        <v>1</v>
      </c>
      <c r="AE229" s="5" t="str">
        <f t="shared" si="27"/>
        <v>Shortage</v>
      </c>
    </row>
    <row r="230" spans="1:31" x14ac:dyDescent="0.25">
      <c r="A230" t="s">
        <v>661</v>
      </c>
      <c r="B230" s="2">
        <v>46073</v>
      </c>
      <c r="C230" t="s">
        <v>662</v>
      </c>
      <c r="D230" t="s">
        <v>62</v>
      </c>
      <c r="E230" t="s">
        <v>63</v>
      </c>
      <c r="F230" t="s">
        <v>35</v>
      </c>
      <c r="G230" t="s">
        <v>43</v>
      </c>
      <c r="H230" t="s">
        <v>44</v>
      </c>
      <c r="I230">
        <v>9</v>
      </c>
      <c r="J230">
        <v>21</v>
      </c>
      <c r="K230">
        <v>10</v>
      </c>
      <c r="L230">
        <v>11</v>
      </c>
      <c r="M230">
        <v>0</v>
      </c>
      <c r="N230">
        <v>21</v>
      </c>
      <c r="O230">
        <v>0</v>
      </c>
      <c r="P230">
        <v>33</v>
      </c>
      <c r="Q230">
        <v>8.4499999999999993</v>
      </c>
      <c r="R230">
        <v>177.45</v>
      </c>
      <c r="S230">
        <v>24781</v>
      </c>
      <c r="T230">
        <v>20944</v>
      </c>
      <c r="U230">
        <v>105</v>
      </c>
      <c r="V230">
        <v>20839</v>
      </c>
      <c r="W230" s="3">
        <f t="shared" si="21"/>
        <v>117.43589743589745</v>
      </c>
      <c r="X230">
        <v>118.01656521145939</v>
      </c>
      <c r="Y230" s="3">
        <v>118.01656521145939</v>
      </c>
      <c r="Z230" s="4">
        <f t="shared" si="22"/>
        <v>0.99507977736412234</v>
      </c>
      <c r="AA230" s="5">
        <f t="shared" si="23"/>
        <v>209.97899706365772</v>
      </c>
      <c r="AB230" s="5">
        <f t="shared" si="24"/>
        <v>8.4499999999999993</v>
      </c>
      <c r="AC230" s="5">
        <f t="shared" si="25"/>
        <v>25</v>
      </c>
      <c r="AD230" s="5">
        <f t="shared" si="26"/>
        <v>4</v>
      </c>
      <c r="AE230" s="5" t="str">
        <f t="shared" si="27"/>
        <v>Shortage</v>
      </c>
    </row>
    <row r="231" spans="1:31" x14ac:dyDescent="0.25">
      <c r="A231" t="s">
        <v>663</v>
      </c>
      <c r="B231" s="2">
        <v>46075</v>
      </c>
      <c r="C231" t="s">
        <v>664</v>
      </c>
      <c r="D231" t="s">
        <v>220</v>
      </c>
      <c r="E231" t="s">
        <v>221</v>
      </c>
      <c r="F231" t="s">
        <v>55</v>
      </c>
      <c r="G231" t="s">
        <v>43</v>
      </c>
      <c r="H231" t="s">
        <v>37</v>
      </c>
      <c r="I231">
        <v>8</v>
      </c>
      <c r="J231">
        <v>15</v>
      </c>
      <c r="K231">
        <v>5</v>
      </c>
      <c r="L231">
        <v>10</v>
      </c>
      <c r="M231">
        <v>0</v>
      </c>
      <c r="N231">
        <v>15</v>
      </c>
      <c r="O231">
        <v>0</v>
      </c>
      <c r="P231">
        <v>45</v>
      </c>
      <c r="Q231">
        <v>7.25</v>
      </c>
      <c r="R231">
        <v>108.75</v>
      </c>
      <c r="S231">
        <v>11673</v>
      </c>
      <c r="T231">
        <v>10035</v>
      </c>
      <c r="U231">
        <v>50</v>
      </c>
      <c r="V231">
        <v>9985</v>
      </c>
      <c r="W231" s="3">
        <f t="shared" si="21"/>
        <v>91.816091954022994</v>
      </c>
      <c r="X231">
        <v>109.38855294136761</v>
      </c>
      <c r="Y231" s="3">
        <v>109.38855294136761</v>
      </c>
      <c r="Z231" s="4">
        <f t="shared" si="22"/>
        <v>0.83935740518696256</v>
      </c>
      <c r="AA231" s="5">
        <f t="shared" si="23"/>
        <v>106.71134854719892</v>
      </c>
      <c r="AB231" s="5">
        <f t="shared" si="24"/>
        <v>7.25</v>
      </c>
      <c r="AC231" s="5">
        <f t="shared" si="25"/>
        <v>15</v>
      </c>
      <c r="AD231" s="5">
        <f t="shared" si="26"/>
        <v>0</v>
      </c>
      <c r="AE231" s="5" t="str">
        <f t="shared" si="27"/>
        <v>Balanced</v>
      </c>
    </row>
    <row r="232" spans="1:31" x14ac:dyDescent="0.25">
      <c r="A232" t="s">
        <v>665</v>
      </c>
      <c r="B232" s="2">
        <v>46076</v>
      </c>
      <c r="C232" t="s">
        <v>666</v>
      </c>
      <c r="D232" t="s">
        <v>667</v>
      </c>
      <c r="E232" t="s">
        <v>668</v>
      </c>
      <c r="F232" t="s">
        <v>42</v>
      </c>
      <c r="G232" t="s">
        <v>36</v>
      </c>
      <c r="H232" t="s">
        <v>88</v>
      </c>
      <c r="I232">
        <v>8</v>
      </c>
      <c r="J232">
        <v>16</v>
      </c>
      <c r="K232">
        <v>6</v>
      </c>
      <c r="L232">
        <v>10</v>
      </c>
      <c r="M232">
        <v>1</v>
      </c>
      <c r="N232">
        <v>15</v>
      </c>
      <c r="O232">
        <v>0</v>
      </c>
      <c r="P232">
        <v>42</v>
      </c>
      <c r="Q232">
        <v>7.3</v>
      </c>
      <c r="R232">
        <v>109.5</v>
      </c>
      <c r="S232">
        <v>13853</v>
      </c>
      <c r="T232">
        <v>12251</v>
      </c>
      <c r="U232">
        <v>179</v>
      </c>
      <c r="V232">
        <v>12072</v>
      </c>
      <c r="W232" s="3">
        <f t="shared" si="21"/>
        <v>110.24657534246575</v>
      </c>
      <c r="X232">
        <v>112.98347693798689</v>
      </c>
      <c r="Y232" s="3">
        <v>112.98347693798689</v>
      </c>
      <c r="Z232" s="4">
        <f t="shared" si="22"/>
        <v>0.97577608983459285</v>
      </c>
      <c r="AA232" s="5">
        <f t="shared" si="23"/>
        <v>122.6108487314785</v>
      </c>
      <c r="AB232" s="5">
        <f t="shared" si="24"/>
        <v>7.3</v>
      </c>
      <c r="AC232" s="5">
        <f t="shared" si="25"/>
        <v>17</v>
      </c>
      <c r="AD232" s="5">
        <f t="shared" si="26"/>
        <v>2</v>
      </c>
      <c r="AE232" s="5" t="str">
        <f t="shared" si="27"/>
        <v>Shortage</v>
      </c>
    </row>
    <row r="233" spans="1:31" x14ac:dyDescent="0.25">
      <c r="A233" t="s">
        <v>669</v>
      </c>
      <c r="B233" s="2">
        <v>46076</v>
      </c>
      <c r="C233" t="s">
        <v>670</v>
      </c>
      <c r="D233" t="s">
        <v>452</v>
      </c>
      <c r="E233" t="s">
        <v>453</v>
      </c>
      <c r="F233" t="s">
        <v>42</v>
      </c>
      <c r="G233" t="s">
        <v>43</v>
      </c>
      <c r="H233" t="s">
        <v>50</v>
      </c>
      <c r="I233">
        <v>9</v>
      </c>
      <c r="J233">
        <v>22</v>
      </c>
      <c r="K233">
        <v>10</v>
      </c>
      <c r="L233">
        <v>12</v>
      </c>
      <c r="M233">
        <v>1</v>
      </c>
      <c r="N233">
        <v>21</v>
      </c>
      <c r="O233">
        <v>2</v>
      </c>
      <c r="P233">
        <v>45</v>
      </c>
      <c r="Q233">
        <v>8.25</v>
      </c>
      <c r="R233">
        <v>173.25</v>
      </c>
      <c r="S233">
        <v>22863</v>
      </c>
      <c r="T233">
        <v>21484</v>
      </c>
      <c r="U233">
        <v>391</v>
      </c>
      <c r="V233">
        <v>21093</v>
      </c>
      <c r="W233" s="3">
        <f t="shared" si="21"/>
        <v>121.74891774891775</v>
      </c>
      <c r="X233">
        <v>115.1855592022217</v>
      </c>
      <c r="Y233" s="3">
        <v>115.1855592022217</v>
      </c>
      <c r="Z233" s="4">
        <f t="shared" si="22"/>
        <v>1.0569807412678642</v>
      </c>
      <c r="AA233" s="5">
        <f t="shared" si="23"/>
        <v>198.48842301369857</v>
      </c>
      <c r="AB233" s="5">
        <f t="shared" si="24"/>
        <v>8.25</v>
      </c>
      <c r="AC233" s="5">
        <f t="shared" si="25"/>
        <v>25</v>
      </c>
      <c r="AD233" s="5">
        <f t="shared" si="26"/>
        <v>4</v>
      </c>
      <c r="AE233" s="5" t="str">
        <f t="shared" si="27"/>
        <v>Shortage</v>
      </c>
    </row>
    <row r="234" spans="1:31" x14ac:dyDescent="0.25">
      <c r="A234" t="s">
        <v>671</v>
      </c>
      <c r="B234" s="2">
        <v>46077</v>
      </c>
      <c r="C234" t="s">
        <v>672</v>
      </c>
      <c r="D234" t="s">
        <v>77</v>
      </c>
      <c r="E234" t="s">
        <v>78</v>
      </c>
      <c r="F234" t="s">
        <v>68</v>
      </c>
      <c r="G234" t="s">
        <v>36</v>
      </c>
      <c r="H234" t="s">
        <v>37</v>
      </c>
      <c r="I234">
        <v>8</v>
      </c>
      <c r="J234">
        <v>28</v>
      </c>
      <c r="K234">
        <v>11</v>
      </c>
      <c r="L234">
        <v>17</v>
      </c>
      <c r="M234">
        <v>1</v>
      </c>
      <c r="N234">
        <v>27</v>
      </c>
      <c r="O234">
        <v>3</v>
      </c>
      <c r="P234">
        <v>6</v>
      </c>
      <c r="Q234">
        <v>7.9</v>
      </c>
      <c r="R234">
        <v>213.3</v>
      </c>
      <c r="S234">
        <v>28649</v>
      </c>
      <c r="T234">
        <v>27874</v>
      </c>
      <c r="U234">
        <v>940</v>
      </c>
      <c r="V234">
        <v>26934</v>
      </c>
      <c r="W234" s="3">
        <f t="shared" si="21"/>
        <v>126.27285513361463</v>
      </c>
      <c r="X234">
        <v>120.8174989437542</v>
      </c>
      <c r="Y234" s="3">
        <v>120.8174989437542</v>
      </c>
      <c r="Z234" s="4">
        <f t="shared" si="22"/>
        <v>1.0451536924498008</v>
      </c>
      <c r="AA234" s="5">
        <f t="shared" si="23"/>
        <v>237.12624620161483</v>
      </c>
      <c r="AB234" s="5">
        <f t="shared" si="24"/>
        <v>7.9</v>
      </c>
      <c r="AC234" s="5">
        <f t="shared" si="25"/>
        <v>31</v>
      </c>
      <c r="AD234" s="5">
        <f t="shared" si="26"/>
        <v>4</v>
      </c>
      <c r="AE234" s="5" t="str">
        <f t="shared" si="27"/>
        <v>Shortage</v>
      </c>
    </row>
    <row r="235" spans="1:31" x14ac:dyDescent="0.25">
      <c r="A235" t="s">
        <v>673</v>
      </c>
      <c r="B235" s="2">
        <v>46078</v>
      </c>
      <c r="C235" t="s">
        <v>674</v>
      </c>
      <c r="D235" t="s">
        <v>62</v>
      </c>
      <c r="E235" t="s">
        <v>63</v>
      </c>
      <c r="F235" t="s">
        <v>55</v>
      </c>
      <c r="G235" t="s">
        <v>36</v>
      </c>
      <c r="H235" t="s">
        <v>74</v>
      </c>
      <c r="I235">
        <v>8</v>
      </c>
      <c r="J235">
        <v>13</v>
      </c>
      <c r="K235">
        <v>6</v>
      </c>
      <c r="L235">
        <v>7</v>
      </c>
      <c r="M235">
        <v>1</v>
      </c>
      <c r="N235">
        <v>12</v>
      </c>
      <c r="O235">
        <v>3</v>
      </c>
      <c r="P235">
        <v>52</v>
      </c>
      <c r="Q235">
        <v>7.13</v>
      </c>
      <c r="R235">
        <v>85.56</v>
      </c>
      <c r="S235">
        <v>10605</v>
      </c>
      <c r="T235">
        <v>9841</v>
      </c>
      <c r="U235">
        <v>368</v>
      </c>
      <c r="V235">
        <v>9473</v>
      </c>
      <c r="W235" s="3">
        <f t="shared" si="21"/>
        <v>110.71762505843851</v>
      </c>
      <c r="X235">
        <v>108.32817332835501</v>
      </c>
      <c r="Y235" s="3">
        <v>108.32817332835501</v>
      </c>
      <c r="Z235" s="4">
        <f t="shared" si="22"/>
        <v>1.0220575281265087</v>
      </c>
      <c r="AA235" s="5">
        <f t="shared" si="23"/>
        <v>97.896970604821703</v>
      </c>
      <c r="AB235" s="5">
        <f t="shared" si="24"/>
        <v>7.1333333333333329</v>
      </c>
      <c r="AC235" s="5">
        <f t="shared" si="25"/>
        <v>14</v>
      </c>
      <c r="AD235" s="5">
        <f t="shared" si="26"/>
        <v>2</v>
      </c>
      <c r="AE235" s="5" t="str">
        <f t="shared" si="27"/>
        <v>Shortage</v>
      </c>
    </row>
    <row r="236" spans="1:31" x14ac:dyDescent="0.25">
      <c r="A236" t="s">
        <v>675</v>
      </c>
      <c r="B236" s="2">
        <v>46078</v>
      </c>
      <c r="C236" t="s">
        <v>676</v>
      </c>
      <c r="D236" t="s">
        <v>190</v>
      </c>
      <c r="E236" t="s">
        <v>108</v>
      </c>
      <c r="F236" t="s">
        <v>35</v>
      </c>
      <c r="G236" t="s">
        <v>36</v>
      </c>
      <c r="H236" t="s">
        <v>69</v>
      </c>
      <c r="I236">
        <v>10</v>
      </c>
      <c r="J236">
        <v>22</v>
      </c>
      <c r="K236">
        <v>9</v>
      </c>
      <c r="L236">
        <v>13</v>
      </c>
      <c r="M236">
        <v>2</v>
      </c>
      <c r="N236">
        <v>20</v>
      </c>
      <c r="O236">
        <v>1</v>
      </c>
      <c r="P236">
        <v>28</v>
      </c>
      <c r="Q236">
        <v>9.5299999999999994</v>
      </c>
      <c r="R236">
        <v>190.6</v>
      </c>
      <c r="S236">
        <v>24548</v>
      </c>
      <c r="T236">
        <v>20948</v>
      </c>
      <c r="U236">
        <v>239</v>
      </c>
      <c r="V236">
        <v>20709</v>
      </c>
      <c r="W236" s="3">
        <f t="shared" si="21"/>
        <v>108.65162644281217</v>
      </c>
      <c r="X236">
        <v>114.1563708384419</v>
      </c>
      <c r="Y236" s="3">
        <v>114.1563708384419</v>
      </c>
      <c r="Z236" s="4">
        <f t="shared" si="22"/>
        <v>0.95177891207298249</v>
      </c>
      <c r="AA236" s="5">
        <f t="shared" si="23"/>
        <v>215.03837078651694</v>
      </c>
      <c r="AB236" s="5">
        <f t="shared" si="24"/>
        <v>9.5333333333333332</v>
      </c>
      <c r="AC236" s="5">
        <f t="shared" si="25"/>
        <v>23</v>
      </c>
      <c r="AD236" s="5">
        <f t="shared" si="26"/>
        <v>3</v>
      </c>
      <c r="AE236" s="5" t="str">
        <f t="shared" si="27"/>
        <v>Shortage</v>
      </c>
    </row>
    <row r="237" spans="1:31" x14ac:dyDescent="0.25">
      <c r="A237" t="s">
        <v>677</v>
      </c>
      <c r="B237" s="2">
        <v>46078</v>
      </c>
      <c r="C237" t="s">
        <v>678</v>
      </c>
      <c r="D237" t="s">
        <v>86</v>
      </c>
      <c r="E237" t="s">
        <v>87</v>
      </c>
      <c r="F237" t="s">
        <v>68</v>
      </c>
      <c r="G237" t="s">
        <v>43</v>
      </c>
      <c r="H237" t="s">
        <v>69</v>
      </c>
      <c r="I237">
        <v>8</v>
      </c>
      <c r="J237">
        <v>30</v>
      </c>
      <c r="K237">
        <v>12</v>
      </c>
      <c r="L237">
        <v>18</v>
      </c>
      <c r="M237">
        <v>1</v>
      </c>
      <c r="N237">
        <v>29</v>
      </c>
      <c r="O237">
        <v>2</v>
      </c>
      <c r="P237">
        <v>45</v>
      </c>
      <c r="Q237">
        <v>7.25</v>
      </c>
      <c r="R237">
        <v>210.25</v>
      </c>
      <c r="S237">
        <v>33112</v>
      </c>
      <c r="T237">
        <v>29332</v>
      </c>
      <c r="U237">
        <v>683</v>
      </c>
      <c r="V237">
        <v>28649</v>
      </c>
      <c r="W237" s="3">
        <f t="shared" si="21"/>
        <v>136.26159334126041</v>
      </c>
      <c r="X237">
        <v>128.22014138735929</v>
      </c>
      <c r="Y237" s="3">
        <v>128.22014138735929</v>
      </c>
      <c r="Z237" s="4">
        <f t="shared" si="22"/>
        <v>1.0627159810221041</v>
      </c>
      <c r="AA237" s="5">
        <f t="shared" si="23"/>
        <v>258.2433589740557</v>
      </c>
      <c r="AB237" s="5">
        <f t="shared" si="24"/>
        <v>7.25</v>
      </c>
      <c r="AC237" s="5">
        <f t="shared" si="25"/>
        <v>36</v>
      </c>
      <c r="AD237" s="5">
        <f t="shared" si="26"/>
        <v>7</v>
      </c>
      <c r="AE237" s="5" t="str">
        <f t="shared" si="27"/>
        <v>Shortage</v>
      </c>
    </row>
    <row r="238" spans="1:31" x14ac:dyDescent="0.25">
      <c r="A238" t="s">
        <v>679</v>
      </c>
      <c r="B238" s="2">
        <v>46078</v>
      </c>
      <c r="C238" t="s">
        <v>680</v>
      </c>
      <c r="D238" t="s">
        <v>303</v>
      </c>
      <c r="E238" t="s">
        <v>304</v>
      </c>
      <c r="F238" t="s">
        <v>35</v>
      </c>
      <c r="G238" t="s">
        <v>43</v>
      </c>
      <c r="H238" t="s">
        <v>50</v>
      </c>
      <c r="I238">
        <v>9</v>
      </c>
      <c r="J238">
        <v>22</v>
      </c>
      <c r="K238">
        <v>7</v>
      </c>
      <c r="L238">
        <v>15</v>
      </c>
      <c r="M238">
        <v>2</v>
      </c>
      <c r="N238">
        <v>20</v>
      </c>
      <c r="O238">
        <v>0</v>
      </c>
      <c r="P238">
        <v>24</v>
      </c>
      <c r="Q238">
        <v>8.6</v>
      </c>
      <c r="R238">
        <v>172</v>
      </c>
      <c r="S238">
        <v>22770</v>
      </c>
      <c r="T238">
        <v>21093</v>
      </c>
      <c r="U238">
        <v>513</v>
      </c>
      <c r="V238">
        <v>20580</v>
      </c>
      <c r="W238" s="3">
        <f t="shared" si="21"/>
        <v>119.65116279069767</v>
      </c>
      <c r="X238">
        <v>118.01656521145939</v>
      </c>
      <c r="Y238" s="3">
        <v>118.01656521145939</v>
      </c>
      <c r="Z238" s="4">
        <f t="shared" si="22"/>
        <v>1.0138505774702851</v>
      </c>
      <c r="AA238" s="5">
        <f t="shared" si="23"/>
        <v>192.93901630844138</v>
      </c>
      <c r="AB238" s="5">
        <f t="shared" si="24"/>
        <v>8.6</v>
      </c>
      <c r="AC238" s="5">
        <f t="shared" si="25"/>
        <v>23</v>
      </c>
      <c r="AD238" s="5">
        <f t="shared" si="26"/>
        <v>3</v>
      </c>
      <c r="AE238" s="5" t="str">
        <f t="shared" si="27"/>
        <v>Shortage</v>
      </c>
    </row>
    <row r="239" spans="1:31" x14ac:dyDescent="0.25">
      <c r="A239" t="s">
        <v>681</v>
      </c>
      <c r="B239" s="2">
        <v>46080</v>
      </c>
      <c r="C239" t="s">
        <v>682</v>
      </c>
      <c r="D239" t="s">
        <v>142</v>
      </c>
      <c r="E239" t="s">
        <v>143</v>
      </c>
      <c r="F239" t="s">
        <v>68</v>
      </c>
      <c r="G239" t="s">
        <v>43</v>
      </c>
      <c r="H239" t="s">
        <v>44</v>
      </c>
      <c r="I239">
        <v>8</v>
      </c>
      <c r="J239">
        <v>28</v>
      </c>
      <c r="K239">
        <v>13</v>
      </c>
      <c r="L239">
        <v>15</v>
      </c>
      <c r="M239">
        <v>0</v>
      </c>
      <c r="N239">
        <v>28</v>
      </c>
      <c r="O239">
        <v>0</v>
      </c>
      <c r="P239">
        <v>30</v>
      </c>
      <c r="Q239">
        <v>7.5</v>
      </c>
      <c r="R239">
        <v>210</v>
      </c>
      <c r="S239">
        <v>31273</v>
      </c>
      <c r="T239">
        <v>24048</v>
      </c>
      <c r="U239">
        <v>384</v>
      </c>
      <c r="V239">
        <v>23664</v>
      </c>
      <c r="W239" s="3">
        <f t="shared" si="21"/>
        <v>112.68571428571428</v>
      </c>
      <c r="X239">
        <v>128.22014138735929</v>
      </c>
      <c r="Y239" s="3">
        <v>128.22014138735929</v>
      </c>
      <c r="Z239" s="4">
        <f t="shared" si="22"/>
        <v>0.87884565612266219</v>
      </c>
      <c r="AA239" s="5">
        <f t="shared" si="23"/>
        <v>243.90083852366644</v>
      </c>
      <c r="AB239" s="5">
        <f t="shared" si="24"/>
        <v>7.5</v>
      </c>
      <c r="AC239" s="5">
        <f t="shared" si="25"/>
        <v>33</v>
      </c>
      <c r="AD239" s="5">
        <f t="shared" si="26"/>
        <v>5</v>
      </c>
      <c r="AE239" s="5" t="str">
        <f t="shared" si="27"/>
        <v>Shortage</v>
      </c>
    </row>
    <row r="240" spans="1:31" x14ac:dyDescent="0.25">
      <c r="A240" t="s">
        <v>683</v>
      </c>
      <c r="B240" s="2">
        <v>46080</v>
      </c>
      <c r="C240" t="s">
        <v>684</v>
      </c>
      <c r="D240" t="s">
        <v>685</v>
      </c>
      <c r="E240" t="s">
        <v>686</v>
      </c>
      <c r="F240" t="s">
        <v>68</v>
      </c>
      <c r="G240" t="s">
        <v>43</v>
      </c>
      <c r="H240" t="s">
        <v>50</v>
      </c>
      <c r="I240">
        <v>8</v>
      </c>
      <c r="J240">
        <v>26</v>
      </c>
      <c r="K240">
        <v>11</v>
      </c>
      <c r="L240">
        <v>15</v>
      </c>
      <c r="M240">
        <v>0</v>
      </c>
      <c r="N240">
        <v>26</v>
      </c>
      <c r="O240">
        <v>0</v>
      </c>
      <c r="P240">
        <v>46</v>
      </c>
      <c r="Q240">
        <v>7.23</v>
      </c>
      <c r="R240">
        <v>187.98</v>
      </c>
      <c r="S240">
        <v>25121</v>
      </c>
      <c r="T240">
        <v>23473</v>
      </c>
      <c r="U240">
        <v>516</v>
      </c>
      <c r="V240">
        <v>22957</v>
      </c>
      <c r="W240" s="3">
        <f t="shared" si="21"/>
        <v>122.12469411639536</v>
      </c>
      <c r="X240">
        <v>128.22014138735929</v>
      </c>
      <c r="Y240" s="3">
        <v>128.22014138735929</v>
      </c>
      <c r="Z240" s="4">
        <f t="shared" si="22"/>
        <v>0.95246107822834725</v>
      </c>
      <c r="AA240" s="5">
        <f t="shared" si="23"/>
        <v>195.92085711486027</v>
      </c>
      <c r="AB240" s="5">
        <f t="shared" si="24"/>
        <v>7.2333333333333334</v>
      </c>
      <c r="AC240" s="5">
        <f t="shared" si="25"/>
        <v>28</v>
      </c>
      <c r="AD240" s="5">
        <f t="shared" si="26"/>
        <v>2</v>
      </c>
      <c r="AE240" s="5" t="str">
        <f t="shared" si="27"/>
        <v>Shortage</v>
      </c>
    </row>
    <row r="241" spans="1:31" x14ac:dyDescent="0.25">
      <c r="A241" t="s">
        <v>687</v>
      </c>
      <c r="B241" s="2">
        <v>46081</v>
      </c>
      <c r="C241" t="s">
        <v>688</v>
      </c>
      <c r="D241" t="s">
        <v>33</v>
      </c>
      <c r="E241" t="s">
        <v>34</v>
      </c>
      <c r="F241" t="s">
        <v>35</v>
      </c>
      <c r="G241" t="s">
        <v>79</v>
      </c>
      <c r="H241" t="s">
        <v>37</v>
      </c>
      <c r="I241">
        <v>8</v>
      </c>
      <c r="J241">
        <v>20</v>
      </c>
      <c r="K241">
        <v>7</v>
      </c>
      <c r="L241">
        <v>13</v>
      </c>
      <c r="M241">
        <v>0</v>
      </c>
      <c r="N241">
        <v>20</v>
      </c>
      <c r="O241">
        <v>2</v>
      </c>
      <c r="P241">
        <v>51</v>
      </c>
      <c r="Q241">
        <v>7.15</v>
      </c>
      <c r="R241">
        <v>143</v>
      </c>
      <c r="S241">
        <v>18235</v>
      </c>
      <c r="T241">
        <v>16294</v>
      </c>
      <c r="U241">
        <v>703</v>
      </c>
      <c r="V241">
        <v>15591</v>
      </c>
      <c r="W241" s="3">
        <f t="shared" si="21"/>
        <v>109.02797202797203</v>
      </c>
      <c r="X241">
        <v>100.6650131940286</v>
      </c>
      <c r="Y241" s="3">
        <v>100.6650131940286</v>
      </c>
      <c r="Z241" s="4">
        <f t="shared" si="22"/>
        <v>1.0830771145663498</v>
      </c>
      <c r="AA241" s="5">
        <f t="shared" si="23"/>
        <v>181.1453594592256</v>
      </c>
      <c r="AB241" s="5">
        <f t="shared" si="24"/>
        <v>7.15</v>
      </c>
      <c r="AC241" s="5">
        <f t="shared" si="25"/>
        <v>26</v>
      </c>
      <c r="AD241" s="5">
        <f t="shared" si="26"/>
        <v>6</v>
      </c>
      <c r="AE241" s="5" t="str">
        <f t="shared" si="27"/>
        <v>Shortage</v>
      </c>
    </row>
    <row r="242" spans="1:31" x14ac:dyDescent="0.25">
      <c r="A242" t="s">
        <v>689</v>
      </c>
      <c r="B242" s="2">
        <v>46082</v>
      </c>
      <c r="C242" t="s">
        <v>690</v>
      </c>
      <c r="D242" t="s">
        <v>62</v>
      </c>
      <c r="E242" t="s">
        <v>63</v>
      </c>
      <c r="F242" t="s">
        <v>55</v>
      </c>
      <c r="G242" t="s">
        <v>36</v>
      </c>
      <c r="H242" t="s">
        <v>37</v>
      </c>
      <c r="I242">
        <v>8</v>
      </c>
      <c r="J242">
        <v>15</v>
      </c>
      <c r="K242">
        <v>6</v>
      </c>
      <c r="L242">
        <v>9</v>
      </c>
      <c r="M242">
        <v>1</v>
      </c>
      <c r="N242">
        <v>14</v>
      </c>
      <c r="O242">
        <v>0</v>
      </c>
      <c r="P242">
        <v>11</v>
      </c>
      <c r="Q242">
        <v>7.82</v>
      </c>
      <c r="R242">
        <v>109.48</v>
      </c>
      <c r="S242">
        <v>12581</v>
      </c>
      <c r="T242">
        <v>13205</v>
      </c>
      <c r="U242">
        <v>200</v>
      </c>
      <c r="V242">
        <v>13005</v>
      </c>
      <c r="W242" s="3">
        <f t="shared" si="21"/>
        <v>118.7888198757764</v>
      </c>
      <c r="X242">
        <v>108.32817332835501</v>
      </c>
      <c r="Y242" s="3">
        <v>108.32817332835501</v>
      </c>
      <c r="Z242" s="4">
        <f t="shared" si="22"/>
        <v>1.0965644137256334</v>
      </c>
      <c r="AA242" s="5">
        <f t="shared" si="23"/>
        <v>116.13783943227362</v>
      </c>
      <c r="AB242" s="5">
        <f t="shared" si="24"/>
        <v>7.8166666666666664</v>
      </c>
      <c r="AC242" s="5">
        <f t="shared" si="25"/>
        <v>15</v>
      </c>
      <c r="AD242" s="5">
        <f t="shared" si="26"/>
        <v>1</v>
      </c>
      <c r="AE242" s="5" t="str">
        <f t="shared" si="27"/>
        <v>Shortage</v>
      </c>
    </row>
    <row r="243" spans="1:31" x14ac:dyDescent="0.25">
      <c r="A243" t="s">
        <v>691</v>
      </c>
      <c r="B243" s="2">
        <v>46083</v>
      </c>
      <c r="C243" t="s">
        <v>692</v>
      </c>
      <c r="D243" t="s">
        <v>236</v>
      </c>
      <c r="E243" t="s">
        <v>237</v>
      </c>
      <c r="F243" t="s">
        <v>49</v>
      </c>
      <c r="G243" t="s">
        <v>43</v>
      </c>
      <c r="H243" t="s">
        <v>88</v>
      </c>
      <c r="I243">
        <v>9</v>
      </c>
      <c r="J243">
        <v>25</v>
      </c>
      <c r="K243">
        <v>10</v>
      </c>
      <c r="L243">
        <v>15</v>
      </c>
      <c r="M243">
        <v>0</v>
      </c>
      <c r="N243">
        <v>25</v>
      </c>
      <c r="O243">
        <v>0</v>
      </c>
      <c r="P243">
        <v>18</v>
      </c>
      <c r="Q243">
        <v>8.6999999999999993</v>
      </c>
      <c r="R243">
        <v>217.5</v>
      </c>
      <c r="S243">
        <v>28834</v>
      </c>
      <c r="T243">
        <v>27714</v>
      </c>
      <c r="U243">
        <v>455</v>
      </c>
      <c r="V243">
        <v>27259</v>
      </c>
      <c r="W243" s="3">
        <f t="shared" si="21"/>
        <v>125.32873563218391</v>
      </c>
      <c r="X243">
        <v>124.78240035826239</v>
      </c>
      <c r="Y243" s="3">
        <v>124.78240035826239</v>
      </c>
      <c r="Z243" s="4">
        <f t="shared" si="22"/>
        <v>1.0043783039303054</v>
      </c>
      <c r="AA243" s="5">
        <f t="shared" si="23"/>
        <v>231.07425339803359</v>
      </c>
      <c r="AB243" s="5">
        <f t="shared" si="24"/>
        <v>8.6999999999999993</v>
      </c>
      <c r="AC243" s="5">
        <f t="shared" si="25"/>
        <v>27</v>
      </c>
      <c r="AD243" s="5">
        <f t="shared" si="26"/>
        <v>2</v>
      </c>
      <c r="AE243" s="5" t="str">
        <f t="shared" si="27"/>
        <v>Shortage</v>
      </c>
    </row>
    <row r="244" spans="1:31" x14ac:dyDescent="0.25">
      <c r="A244" t="s">
        <v>693</v>
      </c>
      <c r="B244" s="2">
        <v>46084</v>
      </c>
      <c r="C244" t="s">
        <v>694</v>
      </c>
      <c r="D244" t="s">
        <v>303</v>
      </c>
      <c r="E244" t="s">
        <v>304</v>
      </c>
      <c r="F244" t="s">
        <v>55</v>
      </c>
      <c r="G244" t="s">
        <v>43</v>
      </c>
      <c r="H244" t="s">
        <v>50</v>
      </c>
      <c r="I244">
        <v>9</v>
      </c>
      <c r="J244">
        <v>18</v>
      </c>
      <c r="K244">
        <v>6</v>
      </c>
      <c r="L244">
        <v>12</v>
      </c>
      <c r="M244">
        <v>1</v>
      </c>
      <c r="N244">
        <v>17</v>
      </c>
      <c r="O244">
        <v>2</v>
      </c>
      <c r="P244">
        <v>49</v>
      </c>
      <c r="Q244">
        <v>8.18</v>
      </c>
      <c r="R244">
        <v>139.06</v>
      </c>
      <c r="S244">
        <v>18430</v>
      </c>
      <c r="T244">
        <v>13786</v>
      </c>
      <c r="U244">
        <v>215</v>
      </c>
      <c r="V244">
        <v>13571</v>
      </c>
      <c r="W244" s="3">
        <f t="shared" si="21"/>
        <v>97.590967927513304</v>
      </c>
      <c r="X244">
        <v>109.38855294136761</v>
      </c>
      <c r="Y244" s="3">
        <v>109.38855294136761</v>
      </c>
      <c r="Z244" s="4">
        <f t="shared" si="22"/>
        <v>0.89214972959576655</v>
      </c>
      <c r="AA244" s="5">
        <f t="shared" si="23"/>
        <v>168.48198010150571</v>
      </c>
      <c r="AB244" s="5">
        <f t="shared" si="24"/>
        <v>8.1833333333333336</v>
      </c>
      <c r="AC244" s="5">
        <f t="shared" si="25"/>
        <v>21</v>
      </c>
      <c r="AD244" s="5">
        <f t="shared" si="26"/>
        <v>4</v>
      </c>
      <c r="AE244" s="5" t="str">
        <f t="shared" si="27"/>
        <v>Shortage</v>
      </c>
    </row>
    <row r="245" spans="1:31" x14ac:dyDescent="0.25">
      <c r="A245" t="s">
        <v>695</v>
      </c>
      <c r="B245" s="2">
        <v>46085</v>
      </c>
      <c r="C245" t="s">
        <v>696</v>
      </c>
      <c r="D245" t="s">
        <v>667</v>
      </c>
      <c r="E245" t="s">
        <v>668</v>
      </c>
      <c r="F245" t="s">
        <v>42</v>
      </c>
      <c r="G245" t="s">
        <v>43</v>
      </c>
      <c r="H245" t="s">
        <v>88</v>
      </c>
      <c r="I245">
        <v>10</v>
      </c>
      <c r="J245">
        <v>20</v>
      </c>
      <c r="K245">
        <v>8</v>
      </c>
      <c r="L245">
        <v>12</v>
      </c>
      <c r="M245">
        <v>0</v>
      </c>
      <c r="N245">
        <v>20</v>
      </c>
      <c r="O245">
        <v>0</v>
      </c>
      <c r="P245">
        <v>7</v>
      </c>
      <c r="Q245">
        <v>9.8800000000000008</v>
      </c>
      <c r="R245">
        <v>197.6</v>
      </c>
      <c r="S245">
        <v>24840</v>
      </c>
      <c r="T245">
        <v>22792</v>
      </c>
      <c r="U245">
        <v>785</v>
      </c>
      <c r="V245">
        <v>22007</v>
      </c>
      <c r="W245" s="3">
        <f t="shared" si="21"/>
        <v>111.37145748987855</v>
      </c>
      <c r="X245">
        <v>115.1855592022217</v>
      </c>
      <c r="Y245" s="3">
        <v>115.1855592022217</v>
      </c>
      <c r="Z245" s="4">
        <f t="shared" si="22"/>
        <v>0.966887327380622</v>
      </c>
      <c r="AA245" s="5">
        <f t="shared" si="23"/>
        <v>215.65203287671227</v>
      </c>
      <c r="AB245" s="5">
        <f t="shared" si="24"/>
        <v>9.8833333333333329</v>
      </c>
      <c r="AC245" s="5">
        <f t="shared" si="25"/>
        <v>22</v>
      </c>
      <c r="AD245" s="5">
        <f t="shared" si="26"/>
        <v>2</v>
      </c>
      <c r="AE245" s="5" t="str">
        <f t="shared" si="27"/>
        <v>Shortage</v>
      </c>
    </row>
    <row r="246" spans="1:31" x14ac:dyDescent="0.25">
      <c r="A246" t="s">
        <v>697</v>
      </c>
      <c r="B246" s="2">
        <v>46085</v>
      </c>
      <c r="C246" t="s">
        <v>698</v>
      </c>
      <c r="D246" t="s">
        <v>257</v>
      </c>
      <c r="E246" t="s">
        <v>258</v>
      </c>
      <c r="F246" t="s">
        <v>55</v>
      </c>
      <c r="G246" t="s">
        <v>79</v>
      </c>
      <c r="H246" t="s">
        <v>69</v>
      </c>
      <c r="I246">
        <v>8</v>
      </c>
      <c r="J246">
        <v>12</v>
      </c>
      <c r="K246">
        <v>5</v>
      </c>
      <c r="L246">
        <v>7</v>
      </c>
      <c r="M246">
        <v>1</v>
      </c>
      <c r="N246">
        <v>11</v>
      </c>
      <c r="O246">
        <v>0</v>
      </c>
      <c r="P246">
        <v>46</v>
      </c>
      <c r="Q246">
        <v>7.23</v>
      </c>
      <c r="R246">
        <v>79.53</v>
      </c>
      <c r="S246">
        <v>8141</v>
      </c>
      <c r="T246">
        <v>6229</v>
      </c>
      <c r="U246">
        <v>112</v>
      </c>
      <c r="V246">
        <v>6117</v>
      </c>
      <c r="W246" s="3">
        <f t="shared" si="21"/>
        <v>76.914371935118822</v>
      </c>
      <c r="X246">
        <v>99.520305551967823</v>
      </c>
      <c r="Y246" s="3">
        <v>99.520305551967823</v>
      </c>
      <c r="Z246" s="4">
        <f t="shared" si="22"/>
        <v>0.77285104289551676</v>
      </c>
      <c r="AA246" s="5">
        <f t="shared" si="23"/>
        <v>81.802401578730155</v>
      </c>
      <c r="AB246" s="5">
        <f t="shared" si="24"/>
        <v>7.2333333333333334</v>
      </c>
      <c r="AC246" s="5">
        <f t="shared" si="25"/>
        <v>12</v>
      </c>
      <c r="AD246" s="5">
        <f t="shared" si="26"/>
        <v>1</v>
      </c>
      <c r="AE246" s="5" t="str">
        <f t="shared" si="27"/>
        <v>Shortage</v>
      </c>
    </row>
    <row r="247" spans="1:31" x14ac:dyDescent="0.25">
      <c r="A247" t="s">
        <v>699</v>
      </c>
      <c r="B247" s="2">
        <v>46086</v>
      </c>
      <c r="C247" t="s">
        <v>700</v>
      </c>
      <c r="D247" t="s">
        <v>134</v>
      </c>
      <c r="E247" t="s">
        <v>135</v>
      </c>
      <c r="F247" t="s">
        <v>42</v>
      </c>
      <c r="G247" t="s">
        <v>36</v>
      </c>
      <c r="H247" t="s">
        <v>44</v>
      </c>
      <c r="I247">
        <v>9</v>
      </c>
      <c r="J247">
        <v>18</v>
      </c>
      <c r="K247">
        <v>6</v>
      </c>
      <c r="L247">
        <v>12</v>
      </c>
      <c r="M247">
        <v>0</v>
      </c>
      <c r="N247">
        <v>18</v>
      </c>
      <c r="O247">
        <v>1</v>
      </c>
      <c r="P247">
        <v>35</v>
      </c>
      <c r="Q247">
        <v>8.42</v>
      </c>
      <c r="R247">
        <v>151.56</v>
      </c>
      <c r="S247">
        <v>20289</v>
      </c>
      <c r="T247">
        <v>15078</v>
      </c>
      <c r="U247">
        <v>229</v>
      </c>
      <c r="V247">
        <v>14849</v>
      </c>
      <c r="W247" s="3">
        <f t="shared" si="21"/>
        <v>97.974399577724995</v>
      </c>
      <c r="X247">
        <v>112.98347693798689</v>
      </c>
      <c r="Y247" s="3">
        <v>112.98347693798689</v>
      </c>
      <c r="Z247" s="4">
        <f t="shared" si="22"/>
        <v>0.867156881988152</v>
      </c>
      <c r="AA247" s="5">
        <f t="shared" si="23"/>
        <v>179.57493033371597</v>
      </c>
      <c r="AB247" s="5">
        <f t="shared" si="24"/>
        <v>8.4166666666666661</v>
      </c>
      <c r="AC247" s="5">
        <f t="shared" si="25"/>
        <v>22</v>
      </c>
      <c r="AD247" s="5">
        <f t="shared" si="26"/>
        <v>4</v>
      </c>
      <c r="AE247" s="5" t="str">
        <f t="shared" si="27"/>
        <v>Shortage</v>
      </c>
    </row>
    <row r="248" spans="1:31" x14ac:dyDescent="0.25">
      <c r="A248" t="s">
        <v>701</v>
      </c>
      <c r="B248" s="2">
        <v>46086</v>
      </c>
      <c r="C248" t="s">
        <v>702</v>
      </c>
      <c r="D248" t="s">
        <v>190</v>
      </c>
      <c r="E248" t="s">
        <v>108</v>
      </c>
      <c r="F248" t="s">
        <v>49</v>
      </c>
      <c r="G248" t="s">
        <v>36</v>
      </c>
      <c r="H248" t="s">
        <v>37</v>
      </c>
      <c r="I248">
        <v>9</v>
      </c>
      <c r="J248">
        <v>22</v>
      </c>
      <c r="K248">
        <v>11</v>
      </c>
      <c r="L248">
        <v>11</v>
      </c>
      <c r="M248">
        <v>1</v>
      </c>
      <c r="N248">
        <v>21</v>
      </c>
      <c r="O248">
        <v>1</v>
      </c>
      <c r="P248">
        <v>23</v>
      </c>
      <c r="Q248">
        <v>8.6199999999999992</v>
      </c>
      <c r="R248">
        <v>181.02</v>
      </c>
      <c r="S248">
        <v>24381</v>
      </c>
      <c r="T248">
        <v>19184</v>
      </c>
      <c r="U248">
        <v>678</v>
      </c>
      <c r="V248">
        <v>18506</v>
      </c>
      <c r="W248" s="3">
        <f t="shared" si="21"/>
        <v>102.23179759142636</v>
      </c>
      <c r="X248">
        <v>118.4084783141387</v>
      </c>
      <c r="Y248" s="3">
        <v>118.4084783141387</v>
      </c>
      <c r="Z248" s="4">
        <f t="shared" si="22"/>
        <v>0.86338241185909448</v>
      </c>
      <c r="AA248" s="5">
        <f t="shared" si="23"/>
        <v>205.90586372807695</v>
      </c>
      <c r="AB248" s="5">
        <f t="shared" si="24"/>
        <v>8.6166666666666671</v>
      </c>
      <c r="AC248" s="5">
        <f t="shared" si="25"/>
        <v>24</v>
      </c>
      <c r="AD248" s="5">
        <f t="shared" si="26"/>
        <v>3</v>
      </c>
      <c r="AE248" s="5" t="str">
        <f t="shared" si="27"/>
        <v>Shortage</v>
      </c>
    </row>
    <row r="249" spans="1:31" x14ac:dyDescent="0.25">
      <c r="A249" t="s">
        <v>703</v>
      </c>
      <c r="B249" s="2">
        <v>46087</v>
      </c>
      <c r="C249" t="s">
        <v>704</v>
      </c>
      <c r="D249" t="s">
        <v>599</v>
      </c>
      <c r="E249" t="s">
        <v>600</v>
      </c>
      <c r="F249" t="s">
        <v>68</v>
      </c>
      <c r="G249" t="s">
        <v>43</v>
      </c>
      <c r="H249" t="s">
        <v>69</v>
      </c>
      <c r="I249">
        <v>8</v>
      </c>
      <c r="J249">
        <v>30</v>
      </c>
      <c r="K249">
        <v>14</v>
      </c>
      <c r="L249">
        <v>16</v>
      </c>
      <c r="M249">
        <v>1</v>
      </c>
      <c r="N249">
        <v>29</v>
      </c>
      <c r="O249">
        <v>3</v>
      </c>
      <c r="P249">
        <v>42</v>
      </c>
      <c r="Q249">
        <v>7.3</v>
      </c>
      <c r="R249">
        <v>211.7</v>
      </c>
      <c r="S249">
        <v>31856</v>
      </c>
      <c r="T249">
        <v>27833</v>
      </c>
      <c r="U249">
        <v>1163</v>
      </c>
      <c r="V249">
        <v>26670</v>
      </c>
      <c r="W249" s="3">
        <f t="shared" si="21"/>
        <v>125.98016060462921</v>
      </c>
      <c r="X249">
        <v>128.22014138735929</v>
      </c>
      <c r="Y249" s="3">
        <v>128.22014138735929</v>
      </c>
      <c r="Z249" s="4">
        <f t="shared" si="22"/>
        <v>0.98253019565808308</v>
      </c>
      <c r="AA249" s="5">
        <f t="shared" si="23"/>
        <v>248.44770607264792</v>
      </c>
      <c r="AB249" s="5">
        <f t="shared" si="24"/>
        <v>7.3</v>
      </c>
      <c r="AC249" s="5">
        <f t="shared" si="25"/>
        <v>35</v>
      </c>
      <c r="AD249" s="5">
        <f t="shared" si="26"/>
        <v>6</v>
      </c>
      <c r="AE249" s="5" t="str">
        <f t="shared" si="27"/>
        <v>Shortage</v>
      </c>
    </row>
    <row r="250" spans="1:31" x14ac:dyDescent="0.25">
      <c r="A250" t="s">
        <v>705</v>
      </c>
      <c r="B250" s="2">
        <v>46088</v>
      </c>
      <c r="C250" t="s">
        <v>706</v>
      </c>
      <c r="D250" t="s">
        <v>186</v>
      </c>
      <c r="E250" t="s">
        <v>187</v>
      </c>
      <c r="F250" t="s">
        <v>68</v>
      </c>
      <c r="G250" t="s">
        <v>79</v>
      </c>
      <c r="H250" t="s">
        <v>88</v>
      </c>
      <c r="I250">
        <v>9</v>
      </c>
      <c r="J250">
        <v>24</v>
      </c>
      <c r="K250">
        <v>7</v>
      </c>
      <c r="L250">
        <v>17</v>
      </c>
      <c r="M250">
        <v>1</v>
      </c>
      <c r="N250">
        <v>23</v>
      </c>
      <c r="O250">
        <v>3</v>
      </c>
      <c r="P250">
        <v>7</v>
      </c>
      <c r="Q250">
        <v>8.8800000000000008</v>
      </c>
      <c r="R250">
        <v>204.24</v>
      </c>
      <c r="S250">
        <v>20905</v>
      </c>
      <c r="T250">
        <v>18025</v>
      </c>
      <c r="U250">
        <v>388</v>
      </c>
      <c r="V250">
        <v>17637</v>
      </c>
      <c r="W250" s="3">
        <f t="shared" si="21"/>
        <v>86.35428907168037</v>
      </c>
      <c r="X250">
        <v>114.6579540175248</v>
      </c>
      <c r="Y250" s="3">
        <v>114.6579540175248</v>
      </c>
      <c r="Z250" s="4">
        <f t="shared" si="22"/>
        <v>0.75314695619356353</v>
      </c>
      <c r="AA250" s="5">
        <f t="shared" si="23"/>
        <v>182.32489999607697</v>
      </c>
      <c r="AB250" s="5">
        <f t="shared" si="24"/>
        <v>8.8833333333333329</v>
      </c>
      <c r="AC250" s="5">
        <f t="shared" si="25"/>
        <v>21</v>
      </c>
      <c r="AD250" s="5">
        <f t="shared" si="26"/>
        <v>-2</v>
      </c>
      <c r="AE250" s="5" t="str">
        <f t="shared" si="27"/>
        <v>Surplus</v>
      </c>
    </row>
    <row r="251" spans="1:31" x14ac:dyDescent="0.25">
      <c r="A251" t="s">
        <v>707</v>
      </c>
      <c r="B251" s="2">
        <v>46089</v>
      </c>
      <c r="C251" t="s">
        <v>708</v>
      </c>
      <c r="D251" t="s">
        <v>174</v>
      </c>
      <c r="E251" t="s">
        <v>175</v>
      </c>
      <c r="F251" t="s">
        <v>42</v>
      </c>
      <c r="G251" t="s">
        <v>43</v>
      </c>
      <c r="H251" t="s">
        <v>74</v>
      </c>
      <c r="I251">
        <v>8</v>
      </c>
      <c r="J251">
        <v>20</v>
      </c>
      <c r="K251">
        <v>7</v>
      </c>
      <c r="L251">
        <v>13</v>
      </c>
      <c r="M251">
        <v>0</v>
      </c>
      <c r="N251">
        <v>20</v>
      </c>
      <c r="O251">
        <v>3</v>
      </c>
      <c r="P251">
        <v>21</v>
      </c>
      <c r="Q251">
        <v>7.65</v>
      </c>
      <c r="R251">
        <v>153</v>
      </c>
      <c r="S251">
        <v>20479</v>
      </c>
      <c r="T251">
        <v>16396</v>
      </c>
      <c r="U251">
        <v>625</v>
      </c>
      <c r="V251">
        <v>15771</v>
      </c>
      <c r="W251" s="3">
        <f t="shared" si="21"/>
        <v>103.07843137254902</v>
      </c>
      <c r="X251">
        <v>115.1855592022217</v>
      </c>
      <c r="Y251" s="3">
        <v>115.1855592022217</v>
      </c>
      <c r="Z251" s="4">
        <f t="shared" si="22"/>
        <v>0.89489022831050202</v>
      </c>
      <c r="AA251" s="5">
        <f t="shared" si="23"/>
        <v>177.79138410958899</v>
      </c>
      <c r="AB251" s="5">
        <f t="shared" si="24"/>
        <v>7.65</v>
      </c>
      <c r="AC251" s="5">
        <f t="shared" si="25"/>
        <v>24</v>
      </c>
      <c r="AD251" s="5">
        <f t="shared" si="26"/>
        <v>4</v>
      </c>
      <c r="AE251" s="5" t="str">
        <f t="shared" si="27"/>
        <v>Shortage</v>
      </c>
    </row>
    <row r="252" spans="1:31" x14ac:dyDescent="0.25">
      <c r="A252" t="s">
        <v>709</v>
      </c>
      <c r="B252" s="2">
        <v>46089</v>
      </c>
      <c r="C252" t="s">
        <v>710</v>
      </c>
      <c r="D252" t="s">
        <v>320</v>
      </c>
      <c r="E252" t="s">
        <v>321</v>
      </c>
      <c r="F252" t="s">
        <v>42</v>
      </c>
      <c r="G252" t="s">
        <v>43</v>
      </c>
      <c r="H252" t="s">
        <v>44</v>
      </c>
      <c r="I252">
        <v>8</v>
      </c>
      <c r="J252">
        <v>20</v>
      </c>
      <c r="K252">
        <v>9</v>
      </c>
      <c r="L252">
        <v>11</v>
      </c>
      <c r="M252">
        <v>0</v>
      </c>
      <c r="N252">
        <v>20</v>
      </c>
      <c r="O252">
        <v>0</v>
      </c>
      <c r="P252">
        <v>57</v>
      </c>
      <c r="Q252">
        <v>7.05</v>
      </c>
      <c r="R252">
        <v>141</v>
      </c>
      <c r="S252">
        <v>19875</v>
      </c>
      <c r="T252">
        <v>15742</v>
      </c>
      <c r="U252">
        <v>223</v>
      </c>
      <c r="V252">
        <v>15519</v>
      </c>
      <c r="W252" s="3">
        <f t="shared" si="21"/>
        <v>110.06382978723404</v>
      </c>
      <c r="X252">
        <v>115.1855592022217</v>
      </c>
      <c r="Y252" s="3">
        <v>115.1855592022217</v>
      </c>
      <c r="Z252" s="4">
        <f t="shared" si="22"/>
        <v>0.95553496939667704</v>
      </c>
      <c r="AA252" s="5">
        <f t="shared" si="23"/>
        <v>172.54767123287667</v>
      </c>
      <c r="AB252" s="5">
        <f t="shared" si="24"/>
        <v>7.05</v>
      </c>
      <c r="AC252" s="5">
        <f t="shared" si="25"/>
        <v>25</v>
      </c>
      <c r="AD252" s="5">
        <f t="shared" si="26"/>
        <v>5</v>
      </c>
      <c r="AE252" s="5" t="str">
        <f t="shared" si="27"/>
        <v>Shortage</v>
      </c>
    </row>
    <row r="253" spans="1:31" x14ac:dyDescent="0.25">
      <c r="A253" t="s">
        <v>711</v>
      </c>
      <c r="B253" s="2">
        <v>46089</v>
      </c>
      <c r="C253" t="s">
        <v>712</v>
      </c>
      <c r="D253" t="s">
        <v>287</v>
      </c>
      <c r="E253" t="s">
        <v>288</v>
      </c>
      <c r="F253" t="s">
        <v>35</v>
      </c>
      <c r="G253" t="s">
        <v>43</v>
      </c>
      <c r="H253" t="s">
        <v>69</v>
      </c>
      <c r="I253">
        <v>8</v>
      </c>
      <c r="J253">
        <v>24</v>
      </c>
      <c r="K253">
        <v>8</v>
      </c>
      <c r="L253">
        <v>16</v>
      </c>
      <c r="M253">
        <v>2</v>
      </c>
      <c r="N253">
        <v>22</v>
      </c>
      <c r="O253">
        <v>1</v>
      </c>
      <c r="P253">
        <v>45</v>
      </c>
      <c r="Q253">
        <v>7.25</v>
      </c>
      <c r="R253">
        <v>159.5</v>
      </c>
      <c r="S253">
        <v>20651</v>
      </c>
      <c r="T253">
        <v>19199</v>
      </c>
      <c r="U253">
        <v>566</v>
      </c>
      <c r="V253">
        <v>18633</v>
      </c>
      <c r="W253" s="3">
        <f t="shared" si="21"/>
        <v>116.82131661442006</v>
      </c>
      <c r="X253">
        <v>118.01656521145939</v>
      </c>
      <c r="Y253" s="3">
        <v>118.01656521145939</v>
      </c>
      <c r="Z253" s="4">
        <f t="shared" si="22"/>
        <v>0.98987219637431645</v>
      </c>
      <c r="AA253" s="5">
        <f t="shared" si="23"/>
        <v>174.98390978417316</v>
      </c>
      <c r="AB253" s="5">
        <f t="shared" si="24"/>
        <v>7.25</v>
      </c>
      <c r="AC253" s="5">
        <f t="shared" si="25"/>
        <v>25</v>
      </c>
      <c r="AD253" s="5">
        <f t="shared" si="26"/>
        <v>3</v>
      </c>
      <c r="AE253" s="5" t="str">
        <f t="shared" si="27"/>
        <v>Shortage</v>
      </c>
    </row>
    <row r="254" spans="1:31" x14ac:dyDescent="0.25">
      <c r="A254" t="s">
        <v>713</v>
      </c>
      <c r="B254" s="2">
        <v>46090</v>
      </c>
      <c r="C254" t="s">
        <v>714</v>
      </c>
      <c r="D254" t="s">
        <v>324</v>
      </c>
      <c r="E254" t="s">
        <v>325</v>
      </c>
      <c r="F254" t="s">
        <v>49</v>
      </c>
      <c r="G254" t="s">
        <v>79</v>
      </c>
      <c r="H254" t="s">
        <v>69</v>
      </c>
      <c r="I254">
        <v>8</v>
      </c>
      <c r="J254">
        <v>17</v>
      </c>
      <c r="K254">
        <v>6</v>
      </c>
      <c r="L254">
        <v>11</v>
      </c>
      <c r="M254">
        <v>0</v>
      </c>
      <c r="N254">
        <v>17</v>
      </c>
      <c r="O254">
        <v>2</v>
      </c>
      <c r="P254">
        <v>59</v>
      </c>
      <c r="Q254">
        <v>7.02</v>
      </c>
      <c r="R254">
        <v>119.34</v>
      </c>
      <c r="S254">
        <v>11992</v>
      </c>
      <c r="T254">
        <v>10220</v>
      </c>
      <c r="U254">
        <v>336</v>
      </c>
      <c r="V254">
        <v>9884</v>
      </c>
      <c r="W254" s="3">
        <f t="shared" si="21"/>
        <v>82.822188704541645</v>
      </c>
      <c r="X254">
        <v>107.36289227751951</v>
      </c>
      <c r="Y254" s="3">
        <v>107.36289227751951</v>
      </c>
      <c r="Z254" s="4">
        <f t="shared" si="22"/>
        <v>0.77142285334915117</v>
      </c>
      <c r="AA254" s="5">
        <f t="shared" si="23"/>
        <v>111.6959476930092</v>
      </c>
      <c r="AB254" s="5">
        <f t="shared" si="24"/>
        <v>7.0166666666666666</v>
      </c>
      <c r="AC254" s="5">
        <f t="shared" si="25"/>
        <v>16</v>
      </c>
      <c r="AD254" s="5">
        <f t="shared" si="26"/>
        <v>-1</v>
      </c>
      <c r="AE254" s="5" t="str">
        <f t="shared" si="27"/>
        <v>Surplus</v>
      </c>
    </row>
    <row r="255" spans="1:31" x14ac:dyDescent="0.25">
      <c r="A255" t="s">
        <v>715</v>
      </c>
      <c r="B255" s="2">
        <v>46092</v>
      </c>
      <c r="C255" t="s">
        <v>716</v>
      </c>
      <c r="D255" t="s">
        <v>62</v>
      </c>
      <c r="E255" t="s">
        <v>63</v>
      </c>
      <c r="F255" t="s">
        <v>35</v>
      </c>
      <c r="G255" t="s">
        <v>43</v>
      </c>
      <c r="H255" t="s">
        <v>88</v>
      </c>
      <c r="I255">
        <v>8</v>
      </c>
      <c r="J255">
        <v>19</v>
      </c>
      <c r="K255">
        <v>6</v>
      </c>
      <c r="L255">
        <v>13</v>
      </c>
      <c r="M255">
        <v>0</v>
      </c>
      <c r="N255">
        <v>19</v>
      </c>
      <c r="O255">
        <v>2</v>
      </c>
      <c r="P255">
        <v>59</v>
      </c>
      <c r="Q255">
        <v>7.02</v>
      </c>
      <c r="R255">
        <v>133.38</v>
      </c>
      <c r="S255">
        <v>20612</v>
      </c>
      <c r="T255">
        <v>15479</v>
      </c>
      <c r="U255">
        <v>114</v>
      </c>
      <c r="V255">
        <v>15365</v>
      </c>
      <c r="W255" s="3">
        <f t="shared" si="21"/>
        <v>115.19718098665467</v>
      </c>
      <c r="X255">
        <v>118.01656521145939</v>
      </c>
      <c r="Y255" s="3">
        <v>118.01656521145939</v>
      </c>
      <c r="Z255" s="4">
        <f t="shared" si="22"/>
        <v>0.9761102670650259</v>
      </c>
      <c r="AA255" s="5">
        <f t="shared" si="23"/>
        <v>174.65344770090442</v>
      </c>
      <c r="AB255" s="5">
        <f t="shared" si="24"/>
        <v>7.0166666666666666</v>
      </c>
      <c r="AC255" s="5">
        <f t="shared" si="25"/>
        <v>25</v>
      </c>
      <c r="AD255" s="5">
        <f t="shared" si="26"/>
        <v>6</v>
      </c>
      <c r="AE255" s="5" t="str">
        <f t="shared" si="27"/>
        <v>Shortage</v>
      </c>
    </row>
    <row r="256" spans="1:31" x14ac:dyDescent="0.25">
      <c r="A256" t="s">
        <v>717</v>
      </c>
      <c r="B256" s="2">
        <v>46092</v>
      </c>
      <c r="C256" t="s">
        <v>718</v>
      </c>
      <c r="D256" t="s">
        <v>236</v>
      </c>
      <c r="E256" t="s">
        <v>237</v>
      </c>
      <c r="F256" t="s">
        <v>35</v>
      </c>
      <c r="G256" t="s">
        <v>79</v>
      </c>
      <c r="H256" t="s">
        <v>88</v>
      </c>
      <c r="I256">
        <v>9</v>
      </c>
      <c r="J256">
        <v>16</v>
      </c>
      <c r="K256">
        <v>6</v>
      </c>
      <c r="L256">
        <v>10</v>
      </c>
      <c r="M256">
        <v>0</v>
      </c>
      <c r="N256">
        <v>16</v>
      </c>
      <c r="O256">
        <v>3</v>
      </c>
      <c r="P256">
        <v>36</v>
      </c>
      <c r="Q256">
        <v>8.4</v>
      </c>
      <c r="R256">
        <v>134.4</v>
      </c>
      <c r="S256">
        <v>17785</v>
      </c>
      <c r="T256">
        <v>15326</v>
      </c>
      <c r="U256">
        <v>495</v>
      </c>
      <c r="V256">
        <v>14831</v>
      </c>
      <c r="W256" s="3">
        <f t="shared" si="21"/>
        <v>110.34970238095238</v>
      </c>
      <c r="X256">
        <v>100.6650131940286</v>
      </c>
      <c r="Y256" s="3">
        <v>100.6650131940286</v>
      </c>
      <c r="Z256" s="4">
        <f t="shared" si="22"/>
        <v>1.0962071019476931</v>
      </c>
      <c r="AA256" s="5">
        <f t="shared" si="23"/>
        <v>176.67508735850438</v>
      </c>
      <c r="AB256" s="5">
        <f t="shared" si="24"/>
        <v>8.4</v>
      </c>
      <c r="AC256" s="5">
        <f t="shared" si="25"/>
        <v>22</v>
      </c>
      <c r="AD256" s="5">
        <f t="shared" si="26"/>
        <v>6</v>
      </c>
      <c r="AE256" s="5" t="str">
        <f t="shared" si="27"/>
        <v>Shortage</v>
      </c>
    </row>
    <row r="257" spans="1:31" x14ac:dyDescent="0.25">
      <c r="A257" t="s">
        <v>719</v>
      </c>
      <c r="B257" s="2">
        <v>46093</v>
      </c>
      <c r="C257" t="s">
        <v>720</v>
      </c>
      <c r="D257" t="s">
        <v>174</v>
      </c>
      <c r="E257" t="s">
        <v>175</v>
      </c>
      <c r="F257" t="s">
        <v>35</v>
      </c>
      <c r="G257" t="s">
        <v>43</v>
      </c>
      <c r="H257" t="s">
        <v>74</v>
      </c>
      <c r="I257">
        <v>9</v>
      </c>
      <c r="J257">
        <v>22</v>
      </c>
      <c r="K257">
        <v>10</v>
      </c>
      <c r="L257">
        <v>12</v>
      </c>
      <c r="M257">
        <v>0</v>
      </c>
      <c r="N257">
        <v>22</v>
      </c>
      <c r="O257">
        <v>1</v>
      </c>
      <c r="P257">
        <v>14</v>
      </c>
      <c r="Q257">
        <v>8.77</v>
      </c>
      <c r="R257">
        <v>192.94</v>
      </c>
      <c r="S257">
        <v>24975</v>
      </c>
      <c r="T257">
        <v>22663</v>
      </c>
      <c r="U257">
        <v>375</v>
      </c>
      <c r="V257">
        <v>22288</v>
      </c>
      <c r="W257" s="3">
        <f t="shared" si="21"/>
        <v>115.51777754742407</v>
      </c>
      <c r="X257">
        <v>118.01656521145939</v>
      </c>
      <c r="Y257" s="3">
        <v>118.01656521145939</v>
      </c>
      <c r="Z257" s="4">
        <f t="shared" si="22"/>
        <v>0.97882680571529901</v>
      </c>
      <c r="AA257" s="5">
        <f t="shared" si="23"/>
        <v>211.62283409325093</v>
      </c>
      <c r="AB257" s="5">
        <f t="shared" si="24"/>
        <v>8.7666666666666675</v>
      </c>
      <c r="AC257" s="5">
        <f t="shared" si="25"/>
        <v>25</v>
      </c>
      <c r="AD257" s="5">
        <f t="shared" si="26"/>
        <v>3</v>
      </c>
      <c r="AE257" s="5" t="str">
        <f t="shared" si="27"/>
        <v>Shortage</v>
      </c>
    </row>
    <row r="258" spans="1:31" x14ac:dyDescent="0.25">
      <c r="A258" t="s">
        <v>721</v>
      </c>
      <c r="B258" s="2">
        <v>46094</v>
      </c>
      <c r="C258" t="s">
        <v>722</v>
      </c>
      <c r="D258" t="s">
        <v>324</v>
      </c>
      <c r="E258" t="s">
        <v>325</v>
      </c>
      <c r="F258" t="s">
        <v>35</v>
      </c>
      <c r="G258" t="s">
        <v>36</v>
      </c>
      <c r="H258" t="s">
        <v>37</v>
      </c>
      <c r="I258">
        <v>8</v>
      </c>
      <c r="J258">
        <v>21</v>
      </c>
      <c r="K258">
        <v>7</v>
      </c>
      <c r="L258">
        <v>14</v>
      </c>
      <c r="M258">
        <v>0</v>
      </c>
      <c r="N258">
        <v>21</v>
      </c>
      <c r="O258">
        <v>2</v>
      </c>
      <c r="P258">
        <v>49</v>
      </c>
      <c r="Q258">
        <v>7.18</v>
      </c>
      <c r="R258">
        <v>150.78</v>
      </c>
      <c r="S258">
        <v>15980</v>
      </c>
      <c r="T258">
        <v>14735</v>
      </c>
      <c r="U258">
        <v>504</v>
      </c>
      <c r="V258">
        <v>14231</v>
      </c>
      <c r="W258" s="3">
        <f t="shared" si="21"/>
        <v>94.382544103992572</v>
      </c>
      <c r="X258">
        <v>114.1563708384419</v>
      </c>
      <c r="Y258" s="3">
        <v>114.1563708384419</v>
      </c>
      <c r="Z258" s="4">
        <f t="shared" si="22"/>
        <v>0.8267829768131475</v>
      </c>
      <c r="AA258" s="5">
        <f t="shared" si="23"/>
        <v>139.9834269662922</v>
      </c>
      <c r="AB258" s="5">
        <f t="shared" si="24"/>
        <v>7.1833333333333336</v>
      </c>
      <c r="AC258" s="5">
        <f t="shared" si="25"/>
        <v>20</v>
      </c>
      <c r="AD258" s="5">
        <f t="shared" si="26"/>
        <v>-1</v>
      </c>
      <c r="AE258" s="5" t="str">
        <f t="shared" si="27"/>
        <v>Surplus</v>
      </c>
    </row>
    <row r="259" spans="1:31" x14ac:dyDescent="0.25">
      <c r="A259" t="s">
        <v>723</v>
      </c>
      <c r="B259" s="2">
        <v>46094</v>
      </c>
      <c r="C259" t="s">
        <v>724</v>
      </c>
      <c r="D259" t="s">
        <v>293</v>
      </c>
      <c r="E259" t="s">
        <v>294</v>
      </c>
      <c r="F259" t="s">
        <v>55</v>
      </c>
      <c r="G259" t="s">
        <v>43</v>
      </c>
      <c r="H259" t="s">
        <v>74</v>
      </c>
      <c r="I259">
        <v>8</v>
      </c>
      <c r="J259">
        <v>17</v>
      </c>
      <c r="K259">
        <v>6</v>
      </c>
      <c r="L259">
        <v>11</v>
      </c>
      <c r="M259">
        <v>1</v>
      </c>
      <c r="N259">
        <v>16</v>
      </c>
      <c r="O259">
        <v>0</v>
      </c>
      <c r="P259">
        <v>23</v>
      </c>
      <c r="Q259">
        <v>7.62</v>
      </c>
      <c r="R259">
        <v>121.92</v>
      </c>
      <c r="S259">
        <v>14747</v>
      </c>
      <c r="T259">
        <v>13979</v>
      </c>
      <c r="U259">
        <v>462</v>
      </c>
      <c r="V259">
        <v>13517</v>
      </c>
      <c r="W259" s="3">
        <f t="shared" ref="W259:W322" si="28">IFERROR(V259/R259,0)</f>
        <v>110.86778215223097</v>
      </c>
      <c r="X259">
        <v>109.38855294136761</v>
      </c>
      <c r="Y259" s="3">
        <v>109.38855294136761</v>
      </c>
      <c r="Z259" s="4">
        <f t="shared" ref="Z259:Z322" si="29">IFERROR(W259/Y259,0)</f>
        <v>1.0135227057227481</v>
      </c>
      <c r="AA259" s="5">
        <f t="shared" ref="AA259:AA322" si="30">IFERROR(S259/Y259,0)</f>
        <v>134.81300925430844</v>
      </c>
      <c r="AB259" s="5">
        <f t="shared" ref="AB259:AB322" si="31">MAX(0.1,I259-(P259/60))</f>
        <v>7.6166666666666663</v>
      </c>
      <c r="AC259" s="5">
        <f t="shared" ref="AC259:AC322" si="32">IFERROR(CEILING(AA259/AB259,1),0)</f>
        <v>18</v>
      </c>
      <c r="AD259" s="5">
        <f t="shared" ref="AD259:AD322" si="33">AC259-N259</f>
        <v>2</v>
      </c>
      <c r="AE259" s="5" t="str">
        <f t="shared" ref="AE259:AE322" si="34">IF(AD259&gt;0,"Shortage",IF(AD259&lt;0,"Surplus","Balanced"))</f>
        <v>Shortage</v>
      </c>
    </row>
    <row r="260" spans="1:31" x14ac:dyDescent="0.25">
      <c r="A260" t="s">
        <v>725</v>
      </c>
      <c r="B260" s="2">
        <v>46094</v>
      </c>
      <c r="C260" t="s">
        <v>726</v>
      </c>
      <c r="D260" t="s">
        <v>204</v>
      </c>
      <c r="E260" t="s">
        <v>205</v>
      </c>
      <c r="F260" t="s">
        <v>68</v>
      </c>
      <c r="G260" t="s">
        <v>79</v>
      </c>
      <c r="H260" t="s">
        <v>88</v>
      </c>
      <c r="I260">
        <v>10</v>
      </c>
      <c r="J260">
        <v>20</v>
      </c>
      <c r="K260">
        <v>7</v>
      </c>
      <c r="L260">
        <v>13</v>
      </c>
      <c r="M260">
        <v>0</v>
      </c>
      <c r="N260">
        <v>20</v>
      </c>
      <c r="O260">
        <v>3</v>
      </c>
      <c r="P260">
        <v>51</v>
      </c>
      <c r="Q260">
        <v>9.15</v>
      </c>
      <c r="R260">
        <v>183</v>
      </c>
      <c r="S260">
        <v>25667</v>
      </c>
      <c r="T260">
        <v>19407</v>
      </c>
      <c r="U260">
        <v>927</v>
      </c>
      <c r="V260">
        <v>18480</v>
      </c>
      <c r="W260" s="3">
        <f t="shared" si="28"/>
        <v>100.98360655737704</v>
      </c>
      <c r="X260">
        <v>114.6579540175248</v>
      </c>
      <c r="Y260" s="3">
        <v>114.6579540175248</v>
      </c>
      <c r="Z260" s="4">
        <f t="shared" si="29"/>
        <v>0.88073790800368101</v>
      </c>
      <c r="AA260" s="5">
        <f t="shared" si="30"/>
        <v>223.85712548190898</v>
      </c>
      <c r="AB260" s="5">
        <f t="shared" si="31"/>
        <v>9.15</v>
      </c>
      <c r="AC260" s="5">
        <f t="shared" si="32"/>
        <v>25</v>
      </c>
      <c r="AD260" s="5">
        <f t="shared" si="33"/>
        <v>5</v>
      </c>
      <c r="AE260" s="5" t="str">
        <f t="shared" si="34"/>
        <v>Shortage</v>
      </c>
    </row>
    <row r="261" spans="1:31" x14ac:dyDescent="0.25">
      <c r="A261" t="s">
        <v>727</v>
      </c>
      <c r="B261" s="2">
        <v>46095</v>
      </c>
      <c r="C261" t="s">
        <v>728</v>
      </c>
      <c r="D261" t="s">
        <v>111</v>
      </c>
      <c r="E261" t="s">
        <v>112</v>
      </c>
      <c r="F261" t="s">
        <v>68</v>
      </c>
      <c r="G261" t="s">
        <v>43</v>
      </c>
      <c r="H261" t="s">
        <v>74</v>
      </c>
      <c r="I261">
        <v>8</v>
      </c>
      <c r="J261">
        <v>26</v>
      </c>
      <c r="K261">
        <v>12</v>
      </c>
      <c r="L261">
        <v>14</v>
      </c>
      <c r="M261">
        <v>1</v>
      </c>
      <c r="N261">
        <v>25</v>
      </c>
      <c r="O261">
        <v>2</v>
      </c>
      <c r="P261">
        <v>10</v>
      </c>
      <c r="Q261">
        <v>7.83</v>
      </c>
      <c r="R261">
        <v>195.75</v>
      </c>
      <c r="S261">
        <v>24290</v>
      </c>
      <c r="T261">
        <v>25150</v>
      </c>
      <c r="U261">
        <v>214</v>
      </c>
      <c r="V261">
        <v>24936</v>
      </c>
      <c r="W261" s="3">
        <f t="shared" si="28"/>
        <v>127.38697318007662</v>
      </c>
      <c r="X261">
        <v>128.22014138735929</v>
      </c>
      <c r="Y261" s="3">
        <v>128.22014138735929</v>
      </c>
      <c r="Z261" s="4">
        <f t="shared" si="29"/>
        <v>0.99350204891160099</v>
      </c>
      <c r="AA261" s="5">
        <f t="shared" si="30"/>
        <v>189.43981606305306</v>
      </c>
      <c r="AB261" s="5">
        <f t="shared" si="31"/>
        <v>7.833333333333333</v>
      </c>
      <c r="AC261" s="5">
        <f t="shared" si="32"/>
        <v>25</v>
      </c>
      <c r="AD261" s="5">
        <f t="shared" si="33"/>
        <v>0</v>
      </c>
      <c r="AE261" s="5" t="str">
        <f t="shared" si="34"/>
        <v>Balanced</v>
      </c>
    </row>
    <row r="262" spans="1:31" x14ac:dyDescent="0.25">
      <c r="A262" t="s">
        <v>729</v>
      </c>
      <c r="B262" s="2">
        <v>46095</v>
      </c>
      <c r="C262" t="s">
        <v>730</v>
      </c>
      <c r="D262" t="s">
        <v>53</v>
      </c>
      <c r="E262" t="s">
        <v>54</v>
      </c>
      <c r="F262" t="s">
        <v>35</v>
      </c>
      <c r="G262" t="s">
        <v>43</v>
      </c>
      <c r="H262" t="s">
        <v>74</v>
      </c>
      <c r="I262">
        <v>10</v>
      </c>
      <c r="J262">
        <v>21</v>
      </c>
      <c r="K262">
        <v>8</v>
      </c>
      <c r="L262">
        <v>13</v>
      </c>
      <c r="M262">
        <v>0</v>
      </c>
      <c r="N262">
        <v>21</v>
      </c>
      <c r="O262">
        <v>2</v>
      </c>
      <c r="P262">
        <v>35</v>
      </c>
      <c r="Q262">
        <v>9.42</v>
      </c>
      <c r="R262">
        <v>197.82</v>
      </c>
      <c r="S262">
        <v>28118</v>
      </c>
      <c r="T262">
        <v>25660</v>
      </c>
      <c r="U262">
        <v>694</v>
      </c>
      <c r="V262">
        <v>24966</v>
      </c>
      <c r="W262" s="3">
        <f t="shared" si="28"/>
        <v>126.2056414922657</v>
      </c>
      <c r="X262">
        <v>118.01656521145939</v>
      </c>
      <c r="Y262" s="3">
        <v>118.01656521145939</v>
      </c>
      <c r="Z262" s="4">
        <f t="shared" si="29"/>
        <v>1.0693892104564584</v>
      </c>
      <c r="AA262" s="5">
        <f t="shared" si="30"/>
        <v>238.25468865001119</v>
      </c>
      <c r="AB262" s="5">
        <f t="shared" si="31"/>
        <v>9.4166666666666661</v>
      </c>
      <c r="AC262" s="5">
        <f t="shared" si="32"/>
        <v>26</v>
      </c>
      <c r="AD262" s="5">
        <f t="shared" si="33"/>
        <v>5</v>
      </c>
      <c r="AE262" s="5" t="str">
        <f t="shared" si="34"/>
        <v>Shortage</v>
      </c>
    </row>
    <row r="263" spans="1:31" x14ac:dyDescent="0.25">
      <c r="A263" t="s">
        <v>731</v>
      </c>
      <c r="B263" s="2">
        <v>46095</v>
      </c>
      <c r="C263" t="s">
        <v>732</v>
      </c>
      <c r="D263" t="s">
        <v>236</v>
      </c>
      <c r="E263" t="s">
        <v>237</v>
      </c>
      <c r="F263" t="s">
        <v>35</v>
      </c>
      <c r="G263" t="s">
        <v>43</v>
      </c>
      <c r="H263" t="s">
        <v>37</v>
      </c>
      <c r="I263">
        <v>9</v>
      </c>
      <c r="J263">
        <v>22</v>
      </c>
      <c r="K263">
        <v>9</v>
      </c>
      <c r="L263">
        <v>13</v>
      </c>
      <c r="M263">
        <v>0</v>
      </c>
      <c r="N263">
        <v>22</v>
      </c>
      <c r="O263">
        <v>0</v>
      </c>
      <c r="P263">
        <v>27</v>
      </c>
      <c r="Q263">
        <v>8.5500000000000007</v>
      </c>
      <c r="R263">
        <v>188.1</v>
      </c>
      <c r="S263">
        <v>28240</v>
      </c>
      <c r="T263">
        <v>22348</v>
      </c>
      <c r="U263">
        <v>461</v>
      </c>
      <c r="V263">
        <v>21887</v>
      </c>
      <c r="W263" s="3">
        <f t="shared" si="28"/>
        <v>116.35832004253058</v>
      </c>
      <c r="X263">
        <v>118.01656521145939</v>
      </c>
      <c r="Y263" s="3">
        <v>118.01656521145939</v>
      </c>
      <c r="Z263" s="4">
        <f t="shared" si="29"/>
        <v>0.9859490473565502</v>
      </c>
      <c r="AA263" s="5">
        <f t="shared" si="30"/>
        <v>239.28844183356981</v>
      </c>
      <c r="AB263" s="5">
        <f t="shared" si="31"/>
        <v>8.5500000000000007</v>
      </c>
      <c r="AC263" s="5">
        <f t="shared" si="32"/>
        <v>28</v>
      </c>
      <c r="AD263" s="5">
        <f t="shared" si="33"/>
        <v>6</v>
      </c>
      <c r="AE263" s="5" t="str">
        <f t="shared" si="34"/>
        <v>Shortage</v>
      </c>
    </row>
    <row r="264" spans="1:31" x14ac:dyDescent="0.25">
      <c r="A264" t="s">
        <v>733</v>
      </c>
      <c r="B264" s="2">
        <v>46100</v>
      </c>
      <c r="C264" t="s">
        <v>734</v>
      </c>
      <c r="D264" t="s">
        <v>466</v>
      </c>
      <c r="E264" t="s">
        <v>467</v>
      </c>
      <c r="F264" t="s">
        <v>42</v>
      </c>
      <c r="G264" t="s">
        <v>36</v>
      </c>
      <c r="H264" t="s">
        <v>37</v>
      </c>
      <c r="I264">
        <v>9</v>
      </c>
      <c r="J264">
        <v>18</v>
      </c>
      <c r="K264">
        <v>7</v>
      </c>
      <c r="L264">
        <v>11</v>
      </c>
      <c r="M264">
        <v>0</v>
      </c>
      <c r="N264">
        <v>18</v>
      </c>
      <c r="O264">
        <v>0</v>
      </c>
      <c r="P264">
        <v>25</v>
      </c>
      <c r="Q264">
        <v>8.58</v>
      </c>
      <c r="R264">
        <v>154.44</v>
      </c>
      <c r="S264">
        <v>21542</v>
      </c>
      <c r="T264">
        <v>19903</v>
      </c>
      <c r="U264">
        <v>341</v>
      </c>
      <c r="V264">
        <v>19562</v>
      </c>
      <c r="W264" s="3">
        <f t="shared" si="28"/>
        <v>126.66407666407666</v>
      </c>
      <c r="X264">
        <v>112.98347693798689</v>
      </c>
      <c r="Y264" s="3">
        <v>112.98347693798689</v>
      </c>
      <c r="Z264" s="4">
        <f t="shared" si="29"/>
        <v>1.1210849594724246</v>
      </c>
      <c r="AA264" s="5">
        <f t="shared" si="30"/>
        <v>190.66504752569909</v>
      </c>
      <c r="AB264" s="5">
        <f t="shared" si="31"/>
        <v>8.5833333333333339</v>
      </c>
      <c r="AC264" s="5">
        <f t="shared" si="32"/>
        <v>23</v>
      </c>
      <c r="AD264" s="5">
        <f t="shared" si="33"/>
        <v>5</v>
      </c>
      <c r="AE264" s="5" t="str">
        <f t="shared" si="34"/>
        <v>Shortage</v>
      </c>
    </row>
    <row r="265" spans="1:31" x14ac:dyDescent="0.25">
      <c r="A265" t="s">
        <v>735</v>
      </c>
      <c r="B265" s="2">
        <v>46100</v>
      </c>
      <c r="C265" t="s">
        <v>736</v>
      </c>
      <c r="D265" t="s">
        <v>737</v>
      </c>
      <c r="E265" t="s">
        <v>738</v>
      </c>
      <c r="F265" t="s">
        <v>42</v>
      </c>
      <c r="G265" t="s">
        <v>43</v>
      </c>
      <c r="H265" t="s">
        <v>44</v>
      </c>
      <c r="I265">
        <v>9</v>
      </c>
      <c r="J265">
        <v>18</v>
      </c>
      <c r="K265">
        <v>6</v>
      </c>
      <c r="L265">
        <v>12</v>
      </c>
      <c r="M265">
        <v>0</v>
      </c>
      <c r="N265">
        <v>18</v>
      </c>
      <c r="O265">
        <v>2</v>
      </c>
      <c r="P265">
        <v>40</v>
      </c>
      <c r="Q265">
        <v>8.33</v>
      </c>
      <c r="R265">
        <v>149.94</v>
      </c>
      <c r="S265">
        <v>20927</v>
      </c>
      <c r="T265">
        <v>16174</v>
      </c>
      <c r="U265">
        <v>90</v>
      </c>
      <c r="V265">
        <v>16084</v>
      </c>
      <c r="W265" s="3">
        <f t="shared" si="28"/>
        <v>107.26957449646525</v>
      </c>
      <c r="X265">
        <v>115.1855592022217</v>
      </c>
      <c r="Y265" s="3">
        <v>115.1855592022217</v>
      </c>
      <c r="Z265" s="4">
        <f t="shared" si="29"/>
        <v>0.93127624017643562</v>
      </c>
      <c r="AA265" s="5">
        <f t="shared" si="30"/>
        <v>181.68076054794514</v>
      </c>
      <c r="AB265" s="5">
        <f t="shared" si="31"/>
        <v>8.3333333333333339</v>
      </c>
      <c r="AC265" s="5">
        <f t="shared" si="32"/>
        <v>22</v>
      </c>
      <c r="AD265" s="5">
        <f t="shared" si="33"/>
        <v>4</v>
      </c>
      <c r="AE265" s="5" t="str">
        <f t="shared" si="34"/>
        <v>Shortage</v>
      </c>
    </row>
    <row r="266" spans="1:31" x14ac:dyDescent="0.25">
      <c r="A266" t="s">
        <v>739</v>
      </c>
      <c r="B266" s="2">
        <v>46100</v>
      </c>
      <c r="C266" t="s">
        <v>740</v>
      </c>
      <c r="D266" t="s">
        <v>86</v>
      </c>
      <c r="E266" t="s">
        <v>87</v>
      </c>
      <c r="F266" t="s">
        <v>42</v>
      </c>
      <c r="G266" t="s">
        <v>43</v>
      </c>
      <c r="H266" t="s">
        <v>88</v>
      </c>
      <c r="I266">
        <v>9</v>
      </c>
      <c r="J266">
        <v>23</v>
      </c>
      <c r="K266">
        <v>9</v>
      </c>
      <c r="L266">
        <v>14</v>
      </c>
      <c r="M266">
        <v>0</v>
      </c>
      <c r="N266">
        <v>23</v>
      </c>
      <c r="O266">
        <v>3</v>
      </c>
      <c r="P266">
        <v>44</v>
      </c>
      <c r="Q266">
        <v>8.27</v>
      </c>
      <c r="R266">
        <v>190.21</v>
      </c>
      <c r="S266">
        <v>28565</v>
      </c>
      <c r="T266">
        <v>24485</v>
      </c>
      <c r="U266">
        <v>200</v>
      </c>
      <c r="V266">
        <v>24285</v>
      </c>
      <c r="W266" s="3">
        <f t="shared" si="28"/>
        <v>127.67467535881394</v>
      </c>
      <c r="X266">
        <v>115.1855592022217</v>
      </c>
      <c r="Y266" s="3">
        <v>115.1855592022217</v>
      </c>
      <c r="Z266" s="4">
        <f t="shared" si="29"/>
        <v>1.1084260582931766</v>
      </c>
      <c r="AA266" s="5">
        <f t="shared" si="30"/>
        <v>247.99115616438348</v>
      </c>
      <c r="AB266" s="5">
        <f t="shared" si="31"/>
        <v>8.2666666666666675</v>
      </c>
      <c r="AC266" s="5">
        <f t="shared" si="32"/>
        <v>30</v>
      </c>
      <c r="AD266" s="5">
        <f t="shared" si="33"/>
        <v>7</v>
      </c>
      <c r="AE266" s="5" t="str">
        <f t="shared" si="34"/>
        <v>Shortage</v>
      </c>
    </row>
    <row r="267" spans="1:31" x14ac:dyDescent="0.25">
      <c r="A267" t="s">
        <v>741</v>
      </c>
      <c r="B267" s="2">
        <v>46100</v>
      </c>
      <c r="C267" t="s">
        <v>742</v>
      </c>
      <c r="D267" t="s">
        <v>516</v>
      </c>
      <c r="E267" t="s">
        <v>517</v>
      </c>
      <c r="F267" t="s">
        <v>68</v>
      </c>
      <c r="G267" t="s">
        <v>79</v>
      </c>
      <c r="H267" t="s">
        <v>44</v>
      </c>
      <c r="I267">
        <v>8</v>
      </c>
      <c r="J267">
        <v>20</v>
      </c>
      <c r="K267">
        <v>8</v>
      </c>
      <c r="L267">
        <v>12</v>
      </c>
      <c r="M267">
        <v>0</v>
      </c>
      <c r="N267">
        <v>20</v>
      </c>
      <c r="O267">
        <v>1</v>
      </c>
      <c r="P267">
        <v>55</v>
      </c>
      <c r="Q267">
        <v>7.08</v>
      </c>
      <c r="R267">
        <v>141.6</v>
      </c>
      <c r="S267">
        <v>19992</v>
      </c>
      <c r="T267">
        <v>18321</v>
      </c>
      <c r="U267">
        <v>338</v>
      </c>
      <c r="V267">
        <v>17983</v>
      </c>
      <c r="W267" s="3">
        <f t="shared" si="28"/>
        <v>126.99858757062147</v>
      </c>
      <c r="X267">
        <v>114.6579540175248</v>
      </c>
      <c r="Y267" s="3">
        <v>114.6579540175248</v>
      </c>
      <c r="Z267" s="4">
        <f t="shared" si="29"/>
        <v>1.1076299822270548</v>
      </c>
      <c r="AA267" s="5">
        <f t="shared" si="30"/>
        <v>174.36208565996512</v>
      </c>
      <c r="AB267" s="5">
        <f t="shared" si="31"/>
        <v>7.083333333333333</v>
      </c>
      <c r="AC267" s="5">
        <f t="shared" si="32"/>
        <v>25</v>
      </c>
      <c r="AD267" s="5">
        <f t="shared" si="33"/>
        <v>5</v>
      </c>
      <c r="AE267" s="5" t="str">
        <f t="shared" si="34"/>
        <v>Shortage</v>
      </c>
    </row>
    <row r="268" spans="1:31" x14ac:dyDescent="0.25">
      <c r="A268" t="s">
        <v>743</v>
      </c>
      <c r="B268" s="2">
        <v>46101</v>
      </c>
      <c r="C268" t="s">
        <v>744</v>
      </c>
      <c r="D268" t="s">
        <v>312</v>
      </c>
      <c r="E268" t="s">
        <v>313</v>
      </c>
      <c r="F268" t="s">
        <v>55</v>
      </c>
      <c r="G268" t="s">
        <v>36</v>
      </c>
      <c r="H268" t="s">
        <v>69</v>
      </c>
      <c r="I268">
        <v>8</v>
      </c>
      <c r="J268">
        <v>14</v>
      </c>
      <c r="K268">
        <v>7</v>
      </c>
      <c r="L268">
        <v>7</v>
      </c>
      <c r="M268">
        <v>0</v>
      </c>
      <c r="N268">
        <v>14</v>
      </c>
      <c r="O268">
        <v>1</v>
      </c>
      <c r="P268">
        <v>42</v>
      </c>
      <c r="Q268">
        <v>7.3</v>
      </c>
      <c r="R268">
        <v>102.2</v>
      </c>
      <c r="S268">
        <v>9670</v>
      </c>
      <c r="T268">
        <v>8659</v>
      </c>
      <c r="U268">
        <v>132</v>
      </c>
      <c r="V268">
        <v>8527</v>
      </c>
      <c r="W268" s="3">
        <f t="shared" si="28"/>
        <v>83.43444227005871</v>
      </c>
      <c r="X268">
        <v>108.32817332835501</v>
      </c>
      <c r="Y268" s="3">
        <v>108.32817332835501</v>
      </c>
      <c r="Z268" s="4">
        <f t="shared" si="29"/>
        <v>0.77020076778327495</v>
      </c>
      <c r="AA268" s="5">
        <f t="shared" si="30"/>
        <v>89.265790263896818</v>
      </c>
      <c r="AB268" s="5">
        <f t="shared" si="31"/>
        <v>7.3</v>
      </c>
      <c r="AC268" s="5">
        <f t="shared" si="32"/>
        <v>13</v>
      </c>
      <c r="AD268" s="5">
        <f t="shared" si="33"/>
        <v>-1</v>
      </c>
      <c r="AE268" s="5" t="str">
        <f t="shared" si="34"/>
        <v>Surplus</v>
      </c>
    </row>
    <row r="269" spans="1:31" x14ac:dyDescent="0.25">
      <c r="A269" t="s">
        <v>745</v>
      </c>
      <c r="B269" s="2">
        <v>46102</v>
      </c>
      <c r="C269" t="s">
        <v>746</v>
      </c>
      <c r="D269" t="s">
        <v>398</v>
      </c>
      <c r="E269" t="s">
        <v>399</v>
      </c>
      <c r="F269" t="s">
        <v>68</v>
      </c>
      <c r="G269" t="s">
        <v>43</v>
      </c>
      <c r="H269" t="s">
        <v>37</v>
      </c>
      <c r="I269">
        <v>8</v>
      </c>
      <c r="J269">
        <v>27</v>
      </c>
      <c r="K269">
        <v>10</v>
      </c>
      <c r="L269">
        <v>17</v>
      </c>
      <c r="M269">
        <v>0</v>
      </c>
      <c r="N269">
        <v>27</v>
      </c>
      <c r="O269">
        <v>0</v>
      </c>
      <c r="P269">
        <v>35</v>
      </c>
      <c r="Q269">
        <v>7.42</v>
      </c>
      <c r="R269">
        <v>200.34</v>
      </c>
      <c r="S269">
        <v>31227</v>
      </c>
      <c r="T269">
        <v>23536</v>
      </c>
      <c r="U269">
        <v>345</v>
      </c>
      <c r="V269">
        <v>23191</v>
      </c>
      <c r="W269" s="3">
        <f t="shared" si="28"/>
        <v>115.75821104122991</v>
      </c>
      <c r="X269">
        <v>128.22014138735929</v>
      </c>
      <c r="Y269" s="3">
        <v>128.22014138735929</v>
      </c>
      <c r="Z269" s="4">
        <f t="shared" si="29"/>
        <v>0.90280832471958306</v>
      </c>
      <c r="AA269" s="5">
        <f t="shared" si="30"/>
        <v>243.54208053523911</v>
      </c>
      <c r="AB269" s="5">
        <f t="shared" si="31"/>
        <v>7.416666666666667</v>
      </c>
      <c r="AC269" s="5">
        <f t="shared" si="32"/>
        <v>33</v>
      </c>
      <c r="AD269" s="5">
        <f t="shared" si="33"/>
        <v>6</v>
      </c>
      <c r="AE269" s="5" t="str">
        <f t="shared" si="34"/>
        <v>Shortage</v>
      </c>
    </row>
    <row r="270" spans="1:31" x14ac:dyDescent="0.25">
      <c r="A270" t="s">
        <v>747</v>
      </c>
      <c r="B270" s="2">
        <v>46102</v>
      </c>
      <c r="C270" t="s">
        <v>748</v>
      </c>
      <c r="D270" t="s">
        <v>220</v>
      </c>
      <c r="E270" t="s">
        <v>221</v>
      </c>
      <c r="F270" t="s">
        <v>49</v>
      </c>
      <c r="G270" t="s">
        <v>79</v>
      </c>
      <c r="H270" t="s">
        <v>37</v>
      </c>
      <c r="I270">
        <v>8</v>
      </c>
      <c r="J270">
        <v>20</v>
      </c>
      <c r="K270">
        <v>7</v>
      </c>
      <c r="L270">
        <v>13</v>
      </c>
      <c r="M270">
        <v>1</v>
      </c>
      <c r="N270">
        <v>19</v>
      </c>
      <c r="O270">
        <v>0</v>
      </c>
      <c r="P270">
        <v>33</v>
      </c>
      <c r="Q270">
        <v>7.45</v>
      </c>
      <c r="R270">
        <v>141.55000000000001</v>
      </c>
      <c r="S270">
        <v>15174</v>
      </c>
      <c r="T270">
        <v>13935</v>
      </c>
      <c r="U270">
        <v>216</v>
      </c>
      <c r="V270">
        <v>13719</v>
      </c>
      <c r="W270" s="3">
        <f t="shared" si="28"/>
        <v>96.919816319321782</v>
      </c>
      <c r="X270">
        <v>107.36289227751951</v>
      </c>
      <c r="Y270" s="3">
        <v>107.36289227751951</v>
      </c>
      <c r="Z270" s="4">
        <f t="shared" si="29"/>
        <v>0.90273104853394137</v>
      </c>
      <c r="AA270" s="5">
        <f t="shared" si="30"/>
        <v>141.33374835671461</v>
      </c>
      <c r="AB270" s="5">
        <f t="shared" si="31"/>
        <v>7.45</v>
      </c>
      <c r="AC270" s="5">
        <f t="shared" si="32"/>
        <v>19</v>
      </c>
      <c r="AD270" s="5">
        <f t="shared" si="33"/>
        <v>0</v>
      </c>
      <c r="AE270" s="5" t="str">
        <f t="shared" si="34"/>
        <v>Balanced</v>
      </c>
    </row>
    <row r="271" spans="1:31" x14ac:dyDescent="0.25">
      <c r="A271" t="s">
        <v>749</v>
      </c>
      <c r="B271" s="2">
        <v>46103</v>
      </c>
      <c r="C271" t="s">
        <v>750</v>
      </c>
      <c r="D271" t="s">
        <v>751</v>
      </c>
      <c r="E271" t="s">
        <v>752</v>
      </c>
      <c r="F271" t="s">
        <v>49</v>
      </c>
      <c r="G271" t="s">
        <v>36</v>
      </c>
      <c r="H271" t="s">
        <v>50</v>
      </c>
      <c r="I271">
        <v>8</v>
      </c>
      <c r="J271">
        <v>20</v>
      </c>
      <c r="K271">
        <v>7</v>
      </c>
      <c r="L271">
        <v>13</v>
      </c>
      <c r="M271">
        <v>0</v>
      </c>
      <c r="N271">
        <v>20</v>
      </c>
      <c r="O271">
        <v>2</v>
      </c>
      <c r="P271">
        <v>50</v>
      </c>
      <c r="Q271">
        <v>7.17</v>
      </c>
      <c r="R271">
        <v>143.4</v>
      </c>
      <c r="S271">
        <v>21460</v>
      </c>
      <c r="T271">
        <v>16327</v>
      </c>
      <c r="U271">
        <v>604</v>
      </c>
      <c r="V271">
        <v>15723</v>
      </c>
      <c r="W271" s="3">
        <f t="shared" si="28"/>
        <v>109.64435146443515</v>
      </c>
      <c r="X271">
        <v>118.4084783141387</v>
      </c>
      <c r="Y271" s="3">
        <v>118.4084783141387</v>
      </c>
      <c r="Z271" s="4">
        <f t="shared" si="29"/>
        <v>0.92598395845901971</v>
      </c>
      <c r="AA271" s="5">
        <f t="shared" si="30"/>
        <v>181.23702209115834</v>
      </c>
      <c r="AB271" s="5">
        <f t="shared" si="31"/>
        <v>7.166666666666667</v>
      </c>
      <c r="AC271" s="5">
        <f t="shared" si="32"/>
        <v>26</v>
      </c>
      <c r="AD271" s="5">
        <f t="shared" si="33"/>
        <v>6</v>
      </c>
      <c r="AE271" s="5" t="str">
        <f t="shared" si="34"/>
        <v>Shortage</v>
      </c>
    </row>
    <row r="272" spans="1:31" x14ac:dyDescent="0.25">
      <c r="A272" t="s">
        <v>753</v>
      </c>
      <c r="B272" s="2">
        <v>46104</v>
      </c>
      <c r="C272" t="s">
        <v>754</v>
      </c>
      <c r="D272" t="s">
        <v>452</v>
      </c>
      <c r="E272" t="s">
        <v>453</v>
      </c>
      <c r="F272" t="s">
        <v>35</v>
      </c>
      <c r="G272" t="s">
        <v>36</v>
      </c>
      <c r="H272" t="s">
        <v>74</v>
      </c>
      <c r="I272">
        <v>10</v>
      </c>
      <c r="J272">
        <v>23</v>
      </c>
      <c r="K272">
        <v>11</v>
      </c>
      <c r="L272">
        <v>12</v>
      </c>
      <c r="M272">
        <v>0</v>
      </c>
      <c r="N272">
        <v>23</v>
      </c>
      <c r="O272">
        <v>2</v>
      </c>
      <c r="P272">
        <v>47</v>
      </c>
      <c r="Q272">
        <v>9.2200000000000006</v>
      </c>
      <c r="R272">
        <v>212.06</v>
      </c>
      <c r="S272">
        <v>29030</v>
      </c>
      <c r="T272">
        <v>24985</v>
      </c>
      <c r="U272">
        <v>777</v>
      </c>
      <c r="V272">
        <v>24208</v>
      </c>
      <c r="W272" s="3">
        <f t="shared" si="28"/>
        <v>114.15637083844194</v>
      </c>
      <c r="X272">
        <v>114.1563708384419</v>
      </c>
      <c r="Y272" s="3">
        <v>114.1563708384419</v>
      </c>
      <c r="Z272" s="4">
        <f t="shared" si="29"/>
        <v>1.0000000000000004</v>
      </c>
      <c r="AA272" s="5">
        <f t="shared" si="30"/>
        <v>254.3003056840715</v>
      </c>
      <c r="AB272" s="5">
        <f t="shared" si="31"/>
        <v>9.2166666666666668</v>
      </c>
      <c r="AC272" s="5">
        <f t="shared" si="32"/>
        <v>28</v>
      </c>
      <c r="AD272" s="5">
        <f t="shared" si="33"/>
        <v>5</v>
      </c>
      <c r="AE272" s="5" t="str">
        <f t="shared" si="34"/>
        <v>Shortage</v>
      </c>
    </row>
    <row r="273" spans="1:31" x14ac:dyDescent="0.25">
      <c r="A273" t="s">
        <v>755</v>
      </c>
      <c r="B273" s="2">
        <v>46104</v>
      </c>
      <c r="C273" t="s">
        <v>756</v>
      </c>
      <c r="D273" t="s">
        <v>47</v>
      </c>
      <c r="E273" t="s">
        <v>48</v>
      </c>
      <c r="F273" t="s">
        <v>35</v>
      </c>
      <c r="G273" t="s">
        <v>43</v>
      </c>
      <c r="H273" t="s">
        <v>37</v>
      </c>
      <c r="I273">
        <v>10</v>
      </c>
      <c r="J273">
        <v>19</v>
      </c>
      <c r="K273">
        <v>7</v>
      </c>
      <c r="L273">
        <v>12</v>
      </c>
      <c r="M273">
        <v>0</v>
      </c>
      <c r="N273">
        <v>19</v>
      </c>
      <c r="O273">
        <v>1</v>
      </c>
      <c r="P273">
        <v>8</v>
      </c>
      <c r="Q273">
        <v>9.8699999999999992</v>
      </c>
      <c r="R273">
        <v>187.53</v>
      </c>
      <c r="S273">
        <v>20526</v>
      </c>
      <c r="T273">
        <v>18057</v>
      </c>
      <c r="U273">
        <v>96</v>
      </c>
      <c r="V273">
        <v>17961</v>
      </c>
      <c r="W273" s="3">
        <f t="shared" si="28"/>
        <v>95.776675731882904</v>
      </c>
      <c r="X273">
        <v>118.01656521145939</v>
      </c>
      <c r="Y273" s="3">
        <v>118.01656521145939</v>
      </c>
      <c r="Z273" s="4">
        <f t="shared" si="29"/>
        <v>0.81155281515160549</v>
      </c>
      <c r="AA273" s="5">
        <f t="shared" si="30"/>
        <v>173.92473644036309</v>
      </c>
      <c r="AB273" s="5">
        <f t="shared" si="31"/>
        <v>9.8666666666666671</v>
      </c>
      <c r="AC273" s="5">
        <f t="shared" si="32"/>
        <v>18</v>
      </c>
      <c r="AD273" s="5">
        <f t="shared" si="33"/>
        <v>-1</v>
      </c>
      <c r="AE273" s="5" t="str">
        <f t="shared" si="34"/>
        <v>Surplus</v>
      </c>
    </row>
    <row r="274" spans="1:31" x14ac:dyDescent="0.25">
      <c r="A274" t="s">
        <v>757</v>
      </c>
      <c r="B274" s="2">
        <v>46105</v>
      </c>
      <c r="C274" t="s">
        <v>758</v>
      </c>
      <c r="D274" t="s">
        <v>72</v>
      </c>
      <c r="E274" t="s">
        <v>73</v>
      </c>
      <c r="F274" t="s">
        <v>49</v>
      </c>
      <c r="G274" t="s">
        <v>36</v>
      </c>
      <c r="H274" t="s">
        <v>74</v>
      </c>
      <c r="I274">
        <v>8</v>
      </c>
      <c r="J274">
        <v>24</v>
      </c>
      <c r="K274">
        <v>9</v>
      </c>
      <c r="L274">
        <v>15</v>
      </c>
      <c r="M274">
        <v>2</v>
      </c>
      <c r="N274">
        <v>22</v>
      </c>
      <c r="O274">
        <v>0</v>
      </c>
      <c r="P274">
        <v>35</v>
      </c>
      <c r="Q274">
        <v>7.42</v>
      </c>
      <c r="R274">
        <v>163.24</v>
      </c>
      <c r="S274">
        <v>19898</v>
      </c>
      <c r="T274">
        <v>19426</v>
      </c>
      <c r="U274">
        <v>97</v>
      </c>
      <c r="V274">
        <v>19329</v>
      </c>
      <c r="W274" s="3">
        <f t="shared" si="28"/>
        <v>118.40847831413869</v>
      </c>
      <c r="X274">
        <v>118.4084783141387</v>
      </c>
      <c r="Y274" s="3">
        <v>118.4084783141387</v>
      </c>
      <c r="Z274" s="4">
        <f t="shared" si="29"/>
        <v>0.99999999999999989</v>
      </c>
      <c r="AA274" s="5">
        <f t="shared" si="30"/>
        <v>168.04539914118681</v>
      </c>
      <c r="AB274" s="5">
        <f t="shared" si="31"/>
        <v>7.416666666666667</v>
      </c>
      <c r="AC274" s="5">
        <f t="shared" si="32"/>
        <v>23</v>
      </c>
      <c r="AD274" s="5">
        <f t="shared" si="33"/>
        <v>1</v>
      </c>
      <c r="AE274" s="5" t="str">
        <f t="shared" si="34"/>
        <v>Shortage</v>
      </c>
    </row>
    <row r="275" spans="1:31" x14ac:dyDescent="0.25">
      <c r="A275" t="s">
        <v>759</v>
      </c>
      <c r="B275" s="2">
        <v>46105</v>
      </c>
      <c r="C275" t="s">
        <v>760</v>
      </c>
      <c r="D275" t="s">
        <v>208</v>
      </c>
      <c r="E275" t="s">
        <v>209</v>
      </c>
      <c r="F275" t="s">
        <v>68</v>
      </c>
      <c r="G275" t="s">
        <v>43</v>
      </c>
      <c r="H275" t="s">
        <v>37</v>
      </c>
      <c r="I275">
        <v>9</v>
      </c>
      <c r="J275">
        <v>26</v>
      </c>
      <c r="K275">
        <v>10</v>
      </c>
      <c r="L275">
        <v>16</v>
      </c>
      <c r="M275">
        <v>0</v>
      </c>
      <c r="N275">
        <v>26</v>
      </c>
      <c r="O275">
        <v>1</v>
      </c>
      <c r="P275">
        <v>35</v>
      </c>
      <c r="Q275">
        <v>8.42</v>
      </c>
      <c r="R275">
        <v>218.92</v>
      </c>
      <c r="S275">
        <v>34309</v>
      </c>
      <c r="T275">
        <v>26841</v>
      </c>
      <c r="U275">
        <v>1077</v>
      </c>
      <c r="V275">
        <v>25764</v>
      </c>
      <c r="W275" s="3">
        <f t="shared" si="28"/>
        <v>117.68682623789513</v>
      </c>
      <c r="X275">
        <v>128.22014138735929</v>
      </c>
      <c r="Y275" s="3">
        <v>128.22014138735929</v>
      </c>
      <c r="Z275" s="4">
        <f t="shared" si="29"/>
        <v>0.91784976185884481</v>
      </c>
      <c r="AA275" s="5">
        <f t="shared" si="30"/>
        <v>267.57886575987186</v>
      </c>
      <c r="AB275" s="5">
        <f t="shared" si="31"/>
        <v>8.4166666666666661</v>
      </c>
      <c r="AC275" s="5">
        <f t="shared" si="32"/>
        <v>32</v>
      </c>
      <c r="AD275" s="5">
        <f t="shared" si="33"/>
        <v>6</v>
      </c>
      <c r="AE275" s="5" t="str">
        <f t="shared" si="34"/>
        <v>Shortage</v>
      </c>
    </row>
    <row r="276" spans="1:31" x14ac:dyDescent="0.25">
      <c r="A276" t="s">
        <v>761</v>
      </c>
      <c r="B276" s="2">
        <v>46106</v>
      </c>
      <c r="C276" t="s">
        <v>762</v>
      </c>
      <c r="D276" t="s">
        <v>62</v>
      </c>
      <c r="E276" t="s">
        <v>63</v>
      </c>
      <c r="F276" t="s">
        <v>55</v>
      </c>
      <c r="G276" t="s">
        <v>36</v>
      </c>
      <c r="H276" t="s">
        <v>50</v>
      </c>
      <c r="I276">
        <v>8</v>
      </c>
      <c r="J276">
        <v>15</v>
      </c>
      <c r="K276">
        <v>6</v>
      </c>
      <c r="L276">
        <v>9</v>
      </c>
      <c r="M276">
        <v>0</v>
      </c>
      <c r="N276">
        <v>15</v>
      </c>
      <c r="O276">
        <v>0</v>
      </c>
      <c r="P276">
        <v>46</v>
      </c>
      <c r="Q276">
        <v>7.23</v>
      </c>
      <c r="R276">
        <v>108.45</v>
      </c>
      <c r="S276">
        <v>14367</v>
      </c>
      <c r="T276">
        <v>10275</v>
      </c>
      <c r="U276">
        <v>273</v>
      </c>
      <c r="V276">
        <v>10002</v>
      </c>
      <c r="W276" s="3">
        <f t="shared" si="28"/>
        <v>92.2268326417704</v>
      </c>
      <c r="X276">
        <v>108.32817332835501</v>
      </c>
      <c r="Y276" s="3">
        <v>108.32817332835501</v>
      </c>
      <c r="Z276" s="4">
        <f t="shared" si="29"/>
        <v>0.85136516021755848</v>
      </c>
      <c r="AA276" s="5">
        <f t="shared" si="30"/>
        <v>132.62477856477824</v>
      </c>
      <c r="AB276" s="5">
        <f t="shared" si="31"/>
        <v>7.2333333333333334</v>
      </c>
      <c r="AC276" s="5">
        <f t="shared" si="32"/>
        <v>19</v>
      </c>
      <c r="AD276" s="5">
        <f t="shared" si="33"/>
        <v>4</v>
      </c>
      <c r="AE276" s="5" t="str">
        <f t="shared" si="34"/>
        <v>Shortage</v>
      </c>
    </row>
    <row r="277" spans="1:31" x14ac:dyDescent="0.25">
      <c r="A277" t="s">
        <v>763</v>
      </c>
      <c r="B277" s="2">
        <v>46107</v>
      </c>
      <c r="C277" t="s">
        <v>764</v>
      </c>
      <c r="D277" t="s">
        <v>309</v>
      </c>
      <c r="E277" t="s">
        <v>135</v>
      </c>
      <c r="F277" t="s">
        <v>55</v>
      </c>
      <c r="G277" t="s">
        <v>36</v>
      </c>
      <c r="H277" t="s">
        <v>37</v>
      </c>
      <c r="I277">
        <v>8</v>
      </c>
      <c r="J277">
        <v>17</v>
      </c>
      <c r="K277">
        <v>7</v>
      </c>
      <c r="L277">
        <v>10</v>
      </c>
      <c r="M277">
        <v>1</v>
      </c>
      <c r="N277">
        <v>16</v>
      </c>
      <c r="O277">
        <v>0</v>
      </c>
      <c r="P277">
        <v>35</v>
      </c>
      <c r="Q277">
        <v>7.42</v>
      </c>
      <c r="R277">
        <v>118.72</v>
      </c>
      <c r="S277">
        <v>13003</v>
      </c>
      <c r="T277">
        <v>13370</v>
      </c>
      <c r="U277">
        <v>498</v>
      </c>
      <c r="V277">
        <v>12872</v>
      </c>
      <c r="W277" s="3">
        <f t="shared" si="28"/>
        <v>108.42318059299191</v>
      </c>
      <c r="X277">
        <v>108.32817332835501</v>
      </c>
      <c r="Y277" s="3">
        <v>108.32817332835501</v>
      </c>
      <c r="Z277" s="4">
        <f t="shared" si="29"/>
        <v>1.0008770319088547</v>
      </c>
      <c r="AA277" s="5">
        <f t="shared" si="30"/>
        <v>120.03340959684078</v>
      </c>
      <c r="AB277" s="5">
        <f t="shared" si="31"/>
        <v>7.416666666666667</v>
      </c>
      <c r="AC277" s="5">
        <f t="shared" si="32"/>
        <v>17</v>
      </c>
      <c r="AD277" s="5">
        <f t="shared" si="33"/>
        <v>1</v>
      </c>
      <c r="AE277" s="5" t="str">
        <f t="shared" si="34"/>
        <v>Shortage</v>
      </c>
    </row>
    <row r="278" spans="1:31" x14ac:dyDescent="0.25">
      <c r="A278" t="s">
        <v>765</v>
      </c>
      <c r="B278" s="2">
        <v>46107</v>
      </c>
      <c r="C278" t="s">
        <v>766</v>
      </c>
      <c r="D278" t="s">
        <v>767</v>
      </c>
      <c r="E278" t="s">
        <v>768</v>
      </c>
      <c r="F278" t="s">
        <v>35</v>
      </c>
      <c r="G278" t="s">
        <v>36</v>
      </c>
      <c r="H278" t="s">
        <v>44</v>
      </c>
      <c r="I278">
        <v>8</v>
      </c>
      <c r="J278">
        <v>17</v>
      </c>
      <c r="K278">
        <v>8</v>
      </c>
      <c r="L278">
        <v>9</v>
      </c>
      <c r="M278">
        <v>1</v>
      </c>
      <c r="N278">
        <v>16</v>
      </c>
      <c r="O278">
        <v>1</v>
      </c>
      <c r="P278">
        <v>59</v>
      </c>
      <c r="Q278">
        <v>7.02</v>
      </c>
      <c r="R278">
        <v>112.32</v>
      </c>
      <c r="S278">
        <v>15900</v>
      </c>
      <c r="T278">
        <v>13047</v>
      </c>
      <c r="U278">
        <v>273</v>
      </c>
      <c r="V278">
        <v>12774</v>
      </c>
      <c r="W278" s="3">
        <f t="shared" si="28"/>
        <v>113.72863247863249</v>
      </c>
      <c r="X278">
        <v>114.1563708384419</v>
      </c>
      <c r="Y278" s="3">
        <v>114.1563708384419</v>
      </c>
      <c r="Z278" s="4">
        <f t="shared" si="29"/>
        <v>0.99625304872020892</v>
      </c>
      <c r="AA278" s="5">
        <f t="shared" si="30"/>
        <v>139.28263384005294</v>
      </c>
      <c r="AB278" s="5">
        <f t="shared" si="31"/>
        <v>7.0166666666666666</v>
      </c>
      <c r="AC278" s="5">
        <f t="shared" si="32"/>
        <v>20</v>
      </c>
      <c r="AD278" s="5">
        <f t="shared" si="33"/>
        <v>4</v>
      </c>
      <c r="AE278" s="5" t="str">
        <f t="shared" si="34"/>
        <v>Shortage</v>
      </c>
    </row>
    <row r="279" spans="1:31" x14ac:dyDescent="0.25">
      <c r="A279" t="s">
        <v>769</v>
      </c>
      <c r="B279" s="2">
        <v>46107</v>
      </c>
      <c r="C279" t="s">
        <v>770</v>
      </c>
      <c r="D279" t="s">
        <v>254</v>
      </c>
      <c r="E279" t="s">
        <v>157</v>
      </c>
      <c r="F279" t="s">
        <v>49</v>
      </c>
      <c r="G279" t="s">
        <v>43</v>
      </c>
      <c r="H279" t="s">
        <v>69</v>
      </c>
      <c r="I279">
        <v>8</v>
      </c>
      <c r="J279">
        <v>24</v>
      </c>
      <c r="K279">
        <v>9</v>
      </c>
      <c r="L279">
        <v>15</v>
      </c>
      <c r="M279">
        <v>1</v>
      </c>
      <c r="N279">
        <v>23</v>
      </c>
      <c r="O279">
        <v>1</v>
      </c>
      <c r="P279">
        <v>21</v>
      </c>
      <c r="Q279">
        <v>7.65</v>
      </c>
      <c r="R279">
        <v>175.95</v>
      </c>
      <c r="S279">
        <v>25197</v>
      </c>
      <c r="T279">
        <v>21908</v>
      </c>
      <c r="U279">
        <v>428</v>
      </c>
      <c r="V279">
        <v>21480</v>
      </c>
      <c r="W279" s="3">
        <f t="shared" si="28"/>
        <v>122.08013640238705</v>
      </c>
      <c r="X279">
        <v>124.78240035826239</v>
      </c>
      <c r="Y279" s="3">
        <v>124.78240035826239</v>
      </c>
      <c r="Z279" s="4">
        <f t="shared" si="29"/>
        <v>0.97834418998098394</v>
      </c>
      <c r="AA279" s="5">
        <f t="shared" si="30"/>
        <v>201.92751483908759</v>
      </c>
      <c r="AB279" s="5">
        <f t="shared" si="31"/>
        <v>7.65</v>
      </c>
      <c r="AC279" s="5">
        <f t="shared" si="32"/>
        <v>27</v>
      </c>
      <c r="AD279" s="5">
        <f t="shared" si="33"/>
        <v>4</v>
      </c>
      <c r="AE279" s="5" t="str">
        <f t="shared" si="34"/>
        <v>Shortage</v>
      </c>
    </row>
    <row r="280" spans="1:31" x14ac:dyDescent="0.25">
      <c r="A280" t="s">
        <v>771</v>
      </c>
      <c r="B280" s="2">
        <v>46107</v>
      </c>
      <c r="C280" t="s">
        <v>772</v>
      </c>
      <c r="D280" t="s">
        <v>66</v>
      </c>
      <c r="E280" t="s">
        <v>67</v>
      </c>
      <c r="F280" t="s">
        <v>35</v>
      </c>
      <c r="G280" t="s">
        <v>43</v>
      </c>
      <c r="H280" t="s">
        <v>37</v>
      </c>
      <c r="I280">
        <v>8</v>
      </c>
      <c r="J280">
        <v>24</v>
      </c>
      <c r="K280">
        <v>8</v>
      </c>
      <c r="L280">
        <v>16</v>
      </c>
      <c r="M280">
        <v>0</v>
      </c>
      <c r="N280">
        <v>24</v>
      </c>
      <c r="O280">
        <v>0</v>
      </c>
      <c r="P280">
        <v>53</v>
      </c>
      <c r="Q280">
        <v>7.12</v>
      </c>
      <c r="R280">
        <v>170.88</v>
      </c>
      <c r="S280">
        <v>19438</v>
      </c>
      <c r="T280">
        <v>16594</v>
      </c>
      <c r="U280">
        <v>724</v>
      </c>
      <c r="V280">
        <v>15870</v>
      </c>
      <c r="W280" s="3">
        <f t="shared" si="28"/>
        <v>92.872191011235955</v>
      </c>
      <c r="X280">
        <v>118.01656521145939</v>
      </c>
      <c r="Y280" s="3">
        <v>118.01656521145939</v>
      </c>
      <c r="Z280" s="4">
        <f t="shared" si="29"/>
        <v>0.78694199280270261</v>
      </c>
      <c r="AA280" s="5">
        <f t="shared" si="30"/>
        <v>164.7056916558403</v>
      </c>
      <c r="AB280" s="5">
        <f t="shared" si="31"/>
        <v>7.1166666666666671</v>
      </c>
      <c r="AC280" s="5">
        <f t="shared" si="32"/>
        <v>24</v>
      </c>
      <c r="AD280" s="5">
        <f t="shared" si="33"/>
        <v>0</v>
      </c>
      <c r="AE280" s="5" t="str">
        <f t="shared" si="34"/>
        <v>Balanced</v>
      </c>
    </row>
    <row r="281" spans="1:31" x14ac:dyDescent="0.25">
      <c r="A281" t="s">
        <v>773</v>
      </c>
      <c r="B281" s="2">
        <v>46108</v>
      </c>
      <c r="C281" t="s">
        <v>774</v>
      </c>
      <c r="D281" t="s">
        <v>554</v>
      </c>
      <c r="E281" t="s">
        <v>555</v>
      </c>
      <c r="F281" t="s">
        <v>55</v>
      </c>
      <c r="G281" t="s">
        <v>36</v>
      </c>
      <c r="H281" t="s">
        <v>44</v>
      </c>
      <c r="I281">
        <v>8</v>
      </c>
      <c r="J281">
        <v>16</v>
      </c>
      <c r="K281">
        <v>7</v>
      </c>
      <c r="L281">
        <v>9</v>
      </c>
      <c r="M281">
        <v>0</v>
      </c>
      <c r="N281">
        <v>16</v>
      </c>
      <c r="O281">
        <v>1</v>
      </c>
      <c r="P281">
        <v>40</v>
      </c>
      <c r="Q281">
        <v>7.33</v>
      </c>
      <c r="R281">
        <v>117.28</v>
      </c>
      <c r="S281">
        <v>13026</v>
      </c>
      <c r="T281">
        <v>11373</v>
      </c>
      <c r="U281">
        <v>305</v>
      </c>
      <c r="V281">
        <v>11068</v>
      </c>
      <c r="W281" s="3">
        <f t="shared" si="28"/>
        <v>94.372442019099594</v>
      </c>
      <c r="X281">
        <v>108.32817332835501</v>
      </c>
      <c r="Y281" s="3">
        <v>108.32817332835501</v>
      </c>
      <c r="Z281" s="4">
        <f t="shared" si="29"/>
        <v>0.87117172864205872</v>
      </c>
      <c r="AA281" s="5">
        <f t="shared" si="30"/>
        <v>120.24572740201862</v>
      </c>
      <c r="AB281" s="5">
        <f t="shared" si="31"/>
        <v>7.333333333333333</v>
      </c>
      <c r="AC281" s="5">
        <f t="shared" si="32"/>
        <v>17</v>
      </c>
      <c r="AD281" s="5">
        <f t="shared" si="33"/>
        <v>1</v>
      </c>
      <c r="AE281" s="5" t="str">
        <f t="shared" si="34"/>
        <v>Shortage</v>
      </c>
    </row>
    <row r="282" spans="1:31" x14ac:dyDescent="0.25">
      <c r="A282" t="s">
        <v>775</v>
      </c>
      <c r="B282" s="2">
        <v>46108</v>
      </c>
      <c r="C282" t="s">
        <v>776</v>
      </c>
      <c r="D282" t="s">
        <v>398</v>
      </c>
      <c r="E282" t="s">
        <v>399</v>
      </c>
      <c r="F282" t="s">
        <v>35</v>
      </c>
      <c r="G282" t="s">
        <v>43</v>
      </c>
      <c r="H282" t="s">
        <v>74</v>
      </c>
      <c r="I282">
        <v>8</v>
      </c>
      <c r="J282">
        <v>21</v>
      </c>
      <c r="K282">
        <v>7</v>
      </c>
      <c r="L282">
        <v>14</v>
      </c>
      <c r="M282">
        <v>1</v>
      </c>
      <c r="N282">
        <v>20</v>
      </c>
      <c r="O282">
        <v>0</v>
      </c>
      <c r="P282">
        <v>43</v>
      </c>
      <c r="Q282">
        <v>7.28</v>
      </c>
      <c r="R282">
        <v>145.6</v>
      </c>
      <c r="S282">
        <v>20932</v>
      </c>
      <c r="T282">
        <v>17214</v>
      </c>
      <c r="U282">
        <v>645</v>
      </c>
      <c r="V282">
        <v>16569</v>
      </c>
      <c r="W282" s="3">
        <f t="shared" si="28"/>
        <v>113.79807692307693</v>
      </c>
      <c r="X282">
        <v>118.01656521145939</v>
      </c>
      <c r="Y282" s="3">
        <v>118.01656521145939</v>
      </c>
      <c r="Z282" s="4">
        <f t="shared" si="29"/>
        <v>0.96425511723016277</v>
      </c>
      <c r="AA282" s="5">
        <f t="shared" si="30"/>
        <v>177.36493146105821</v>
      </c>
      <c r="AB282" s="5">
        <f t="shared" si="31"/>
        <v>7.2833333333333332</v>
      </c>
      <c r="AC282" s="5">
        <f t="shared" si="32"/>
        <v>25</v>
      </c>
      <c r="AD282" s="5">
        <f t="shared" si="33"/>
        <v>5</v>
      </c>
      <c r="AE282" s="5" t="str">
        <f t="shared" si="34"/>
        <v>Shortage</v>
      </c>
    </row>
    <row r="283" spans="1:31" x14ac:dyDescent="0.25">
      <c r="A283" t="s">
        <v>777</v>
      </c>
      <c r="B283" s="2">
        <v>46109</v>
      </c>
      <c r="C283" t="s">
        <v>778</v>
      </c>
      <c r="D283" t="s">
        <v>516</v>
      </c>
      <c r="E283" t="s">
        <v>517</v>
      </c>
      <c r="F283" t="s">
        <v>49</v>
      </c>
      <c r="G283" t="s">
        <v>36</v>
      </c>
      <c r="H283" t="s">
        <v>88</v>
      </c>
      <c r="I283">
        <v>10</v>
      </c>
      <c r="J283">
        <v>21</v>
      </c>
      <c r="K283">
        <v>9</v>
      </c>
      <c r="L283">
        <v>12</v>
      </c>
      <c r="M283">
        <v>2</v>
      </c>
      <c r="N283">
        <v>19</v>
      </c>
      <c r="O283">
        <v>2</v>
      </c>
      <c r="P283">
        <v>46</v>
      </c>
      <c r="Q283">
        <v>9.23</v>
      </c>
      <c r="R283">
        <v>175.37</v>
      </c>
      <c r="S283">
        <v>23873</v>
      </c>
      <c r="T283">
        <v>18858</v>
      </c>
      <c r="U283">
        <v>893</v>
      </c>
      <c r="V283">
        <v>17965</v>
      </c>
      <c r="W283" s="3">
        <f t="shared" si="28"/>
        <v>102.44055425671438</v>
      </c>
      <c r="X283">
        <v>118.4084783141387</v>
      </c>
      <c r="Y283" s="3">
        <v>118.4084783141387</v>
      </c>
      <c r="Z283" s="4">
        <f t="shared" si="29"/>
        <v>0.8651454331246341</v>
      </c>
      <c r="AA283" s="5">
        <f t="shared" si="30"/>
        <v>201.61563039991719</v>
      </c>
      <c r="AB283" s="5">
        <f t="shared" si="31"/>
        <v>9.2333333333333325</v>
      </c>
      <c r="AC283" s="5">
        <f t="shared" si="32"/>
        <v>22</v>
      </c>
      <c r="AD283" s="5">
        <f t="shared" si="33"/>
        <v>3</v>
      </c>
      <c r="AE283" s="5" t="str">
        <f t="shared" si="34"/>
        <v>Shortage</v>
      </c>
    </row>
    <row r="284" spans="1:31" x14ac:dyDescent="0.25">
      <c r="A284" t="s">
        <v>779</v>
      </c>
      <c r="B284" s="2">
        <v>46110</v>
      </c>
      <c r="C284" t="s">
        <v>780</v>
      </c>
      <c r="D284" t="s">
        <v>254</v>
      </c>
      <c r="E284" t="s">
        <v>157</v>
      </c>
      <c r="F284" t="s">
        <v>68</v>
      </c>
      <c r="G284" t="s">
        <v>43</v>
      </c>
      <c r="H284" t="s">
        <v>69</v>
      </c>
      <c r="I284">
        <v>9</v>
      </c>
      <c r="J284">
        <v>30</v>
      </c>
      <c r="K284">
        <v>15</v>
      </c>
      <c r="L284">
        <v>15</v>
      </c>
      <c r="M284">
        <v>0</v>
      </c>
      <c r="N284">
        <v>30</v>
      </c>
      <c r="O284">
        <v>0</v>
      </c>
      <c r="P284">
        <v>37</v>
      </c>
      <c r="Q284">
        <v>8.3800000000000008</v>
      </c>
      <c r="R284">
        <v>251.4</v>
      </c>
      <c r="S284">
        <v>36841</v>
      </c>
      <c r="T284">
        <v>28656</v>
      </c>
      <c r="U284">
        <v>1214</v>
      </c>
      <c r="V284">
        <v>27442</v>
      </c>
      <c r="W284" s="3">
        <f t="shared" si="28"/>
        <v>109.15672235481304</v>
      </c>
      <c r="X284">
        <v>128.22014138735929</v>
      </c>
      <c r="Y284" s="3">
        <v>128.22014138735929</v>
      </c>
      <c r="Z284" s="4">
        <f t="shared" si="29"/>
        <v>0.8513227420725209</v>
      </c>
      <c r="AA284" s="5">
        <f t="shared" si="30"/>
        <v>287.32615329678623</v>
      </c>
      <c r="AB284" s="5">
        <f t="shared" si="31"/>
        <v>8.3833333333333329</v>
      </c>
      <c r="AC284" s="5">
        <f t="shared" si="32"/>
        <v>35</v>
      </c>
      <c r="AD284" s="5">
        <f t="shared" si="33"/>
        <v>5</v>
      </c>
      <c r="AE284" s="5" t="str">
        <f t="shared" si="34"/>
        <v>Shortage</v>
      </c>
    </row>
    <row r="285" spans="1:31" x14ac:dyDescent="0.25">
      <c r="A285" t="s">
        <v>781</v>
      </c>
      <c r="B285" s="2">
        <v>46110</v>
      </c>
      <c r="C285" t="s">
        <v>782</v>
      </c>
      <c r="D285" t="s">
        <v>783</v>
      </c>
      <c r="E285" t="s">
        <v>784</v>
      </c>
      <c r="F285" t="s">
        <v>35</v>
      </c>
      <c r="G285" t="s">
        <v>43</v>
      </c>
      <c r="H285" t="s">
        <v>44</v>
      </c>
      <c r="I285">
        <v>8</v>
      </c>
      <c r="J285">
        <v>20</v>
      </c>
      <c r="K285">
        <v>7</v>
      </c>
      <c r="L285">
        <v>13</v>
      </c>
      <c r="M285">
        <v>2</v>
      </c>
      <c r="N285">
        <v>18</v>
      </c>
      <c r="O285">
        <v>2</v>
      </c>
      <c r="P285">
        <v>45</v>
      </c>
      <c r="Q285">
        <v>7.25</v>
      </c>
      <c r="R285">
        <v>130.5</v>
      </c>
      <c r="S285">
        <v>13085</v>
      </c>
      <c r="T285">
        <v>9677</v>
      </c>
      <c r="U285">
        <v>297</v>
      </c>
      <c r="V285">
        <v>9380</v>
      </c>
      <c r="W285" s="3">
        <f t="shared" si="28"/>
        <v>71.877394636015325</v>
      </c>
      <c r="X285">
        <v>118.01656521145939</v>
      </c>
      <c r="Y285" s="3">
        <v>118.01656521145939</v>
      </c>
      <c r="Z285" s="4">
        <f t="shared" si="29"/>
        <v>0.60904496336787162</v>
      </c>
      <c r="AA285" s="5">
        <f t="shared" si="30"/>
        <v>110.87426563003757</v>
      </c>
      <c r="AB285" s="5">
        <f t="shared" si="31"/>
        <v>7.25</v>
      </c>
      <c r="AC285" s="5">
        <f t="shared" si="32"/>
        <v>16</v>
      </c>
      <c r="AD285" s="5">
        <f t="shared" si="33"/>
        <v>-2</v>
      </c>
      <c r="AE285" s="5" t="str">
        <f t="shared" si="34"/>
        <v>Surplus</v>
      </c>
    </row>
    <row r="286" spans="1:31" x14ac:dyDescent="0.25">
      <c r="A286" t="s">
        <v>785</v>
      </c>
      <c r="B286" s="2">
        <v>46111</v>
      </c>
      <c r="C286" t="s">
        <v>786</v>
      </c>
      <c r="D286" t="s">
        <v>99</v>
      </c>
      <c r="E286" t="s">
        <v>100</v>
      </c>
      <c r="F286" t="s">
        <v>49</v>
      </c>
      <c r="G286" t="s">
        <v>36</v>
      </c>
      <c r="H286" t="s">
        <v>37</v>
      </c>
      <c r="I286">
        <v>8</v>
      </c>
      <c r="J286">
        <v>20</v>
      </c>
      <c r="K286">
        <v>7</v>
      </c>
      <c r="L286">
        <v>13</v>
      </c>
      <c r="M286">
        <v>1</v>
      </c>
      <c r="N286">
        <v>19</v>
      </c>
      <c r="O286">
        <v>2</v>
      </c>
      <c r="P286">
        <v>60</v>
      </c>
      <c r="Q286">
        <v>7</v>
      </c>
      <c r="R286">
        <v>133</v>
      </c>
      <c r="S286">
        <v>14369</v>
      </c>
      <c r="T286">
        <v>12675</v>
      </c>
      <c r="U286">
        <v>305</v>
      </c>
      <c r="V286">
        <v>12370</v>
      </c>
      <c r="W286" s="3">
        <f t="shared" si="28"/>
        <v>93.007518796992485</v>
      </c>
      <c r="X286">
        <v>118.4084783141387</v>
      </c>
      <c r="Y286" s="3">
        <v>118.4084783141387</v>
      </c>
      <c r="Z286" s="4">
        <f t="shared" si="29"/>
        <v>0.78548023014232771</v>
      </c>
      <c r="AA286" s="5">
        <f t="shared" si="30"/>
        <v>121.35110766206218</v>
      </c>
      <c r="AB286" s="5">
        <f t="shared" si="31"/>
        <v>7</v>
      </c>
      <c r="AC286" s="5">
        <f t="shared" si="32"/>
        <v>18</v>
      </c>
      <c r="AD286" s="5">
        <f t="shared" si="33"/>
        <v>-1</v>
      </c>
      <c r="AE286" s="5" t="str">
        <f t="shared" si="34"/>
        <v>Surplus</v>
      </c>
    </row>
    <row r="287" spans="1:31" x14ac:dyDescent="0.25">
      <c r="A287" t="s">
        <v>787</v>
      </c>
      <c r="B287" s="2">
        <v>46111</v>
      </c>
      <c r="C287" t="s">
        <v>788</v>
      </c>
      <c r="D287" t="s">
        <v>408</v>
      </c>
      <c r="E287" t="s">
        <v>409</v>
      </c>
      <c r="F287" t="s">
        <v>49</v>
      </c>
      <c r="G287" t="s">
        <v>43</v>
      </c>
      <c r="H287" t="s">
        <v>44</v>
      </c>
      <c r="I287">
        <v>8</v>
      </c>
      <c r="J287">
        <v>25</v>
      </c>
      <c r="K287">
        <v>10</v>
      </c>
      <c r="L287">
        <v>15</v>
      </c>
      <c r="M287">
        <v>0</v>
      </c>
      <c r="N287">
        <v>25</v>
      </c>
      <c r="O287">
        <v>1</v>
      </c>
      <c r="P287">
        <v>34</v>
      </c>
      <c r="Q287">
        <v>7.43</v>
      </c>
      <c r="R287">
        <v>185.75</v>
      </c>
      <c r="S287">
        <v>25916</v>
      </c>
      <c r="T287">
        <v>21860</v>
      </c>
      <c r="U287">
        <v>631</v>
      </c>
      <c r="V287">
        <v>21229</v>
      </c>
      <c r="W287" s="3">
        <f t="shared" si="28"/>
        <v>114.28802153432032</v>
      </c>
      <c r="X287">
        <v>124.78240035826239</v>
      </c>
      <c r="Y287" s="3">
        <v>124.78240035826239</v>
      </c>
      <c r="Z287" s="4">
        <f t="shared" si="29"/>
        <v>0.91589856587297813</v>
      </c>
      <c r="AA287" s="5">
        <f t="shared" si="30"/>
        <v>207.68954536531311</v>
      </c>
      <c r="AB287" s="5">
        <f t="shared" si="31"/>
        <v>7.4333333333333336</v>
      </c>
      <c r="AC287" s="5">
        <f t="shared" si="32"/>
        <v>28</v>
      </c>
      <c r="AD287" s="5">
        <f t="shared" si="33"/>
        <v>3</v>
      </c>
      <c r="AE287" s="5" t="str">
        <f t="shared" si="34"/>
        <v>Shortage</v>
      </c>
    </row>
    <row r="288" spans="1:31" x14ac:dyDescent="0.25">
      <c r="A288" t="s">
        <v>789</v>
      </c>
      <c r="B288" s="2">
        <v>46112</v>
      </c>
      <c r="C288" t="s">
        <v>790</v>
      </c>
      <c r="D288" t="s">
        <v>363</v>
      </c>
      <c r="E288" t="s">
        <v>364</v>
      </c>
      <c r="F288" t="s">
        <v>55</v>
      </c>
      <c r="G288" t="s">
        <v>36</v>
      </c>
      <c r="H288" t="s">
        <v>69</v>
      </c>
      <c r="I288">
        <v>8</v>
      </c>
      <c r="J288">
        <v>18</v>
      </c>
      <c r="K288">
        <v>8</v>
      </c>
      <c r="L288">
        <v>10</v>
      </c>
      <c r="M288">
        <v>0</v>
      </c>
      <c r="N288">
        <v>18</v>
      </c>
      <c r="O288">
        <v>0</v>
      </c>
      <c r="P288">
        <v>16</v>
      </c>
      <c r="Q288">
        <v>7.73</v>
      </c>
      <c r="R288">
        <v>139.13999999999999</v>
      </c>
      <c r="S288">
        <v>11253</v>
      </c>
      <c r="T288">
        <v>8850</v>
      </c>
      <c r="U288">
        <v>242</v>
      </c>
      <c r="V288">
        <v>8608</v>
      </c>
      <c r="W288" s="3">
        <f t="shared" si="28"/>
        <v>61.865746729912324</v>
      </c>
      <c r="X288">
        <v>108.32817332835501</v>
      </c>
      <c r="Y288" s="3">
        <v>108.32817332835501</v>
      </c>
      <c r="Z288" s="4">
        <f t="shared" si="29"/>
        <v>0.57109563310358991</v>
      </c>
      <c r="AA288" s="5">
        <f t="shared" si="30"/>
        <v>103.87879398548407</v>
      </c>
      <c r="AB288" s="5">
        <f t="shared" si="31"/>
        <v>7.7333333333333334</v>
      </c>
      <c r="AC288" s="5">
        <f t="shared" si="32"/>
        <v>14</v>
      </c>
      <c r="AD288" s="5">
        <f t="shared" si="33"/>
        <v>-4</v>
      </c>
      <c r="AE288" s="5" t="str">
        <f t="shared" si="34"/>
        <v>Surplus</v>
      </c>
    </row>
    <row r="289" spans="1:31" x14ac:dyDescent="0.25">
      <c r="A289" t="s">
        <v>791</v>
      </c>
      <c r="B289" s="2">
        <v>46112</v>
      </c>
      <c r="C289" t="s">
        <v>792</v>
      </c>
      <c r="D289" t="s">
        <v>208</v>
      </c>
      <c r="E289" t="s">
        <v>209</v>
      </c>
      <c r="F289" t="s">
        <v>49</v>
      </c>
      <c r="G289" t="s">
        <v>43</v>
      </c>
      <c r="H289" t="s">
        <v>37</v>
      </c>
      <c r="I289">
        <v>8</v>
      </c>
      <c r="J289">
        <v>26</v>
      </c>
      <c r="K289">
        <v>10</v>
      </c>
      <c r="L289">
        <v>16</v>
      </c>
      <c r="M289">
        <v>0</v>
      </c>
      <c r="N289">
        <v>26</v>
      </c>
      <c r="O289">
        <v>0</v>
      </c>
      <c r="P289">
        <v>15</v>
      </c>
      <c r="Q289">
        <v>7.75</v>
      </c>
      <c r="R289">
        <v>201.5</v>
      </c>
      <c r="S289">
        <v>30270</v>
      </c>
      <c r="T289">
        <v>24595</v>
      </c>
      <c r="U289">
        <v>371</v>
      </c>
      <c r="V289">
        <v>24224</v>
      </c>
      <c r="W289" s="3">
        <f t="shared" si="28"/>
        <v>120.21836228287842</v>
      </c>
      <c r="X289">
        <v>124.78240035826239</v>
      </c>
      <c r="Y289" s="3">
        <v>124.78240035826239</v>
      </c>
      <c r="Z289" s="4">
        <f t="shared" si="29"/>
        <v>0.96342402404281224</v>
      </c>
      <c r="AA289" s="5">
        <f t="shared" si="30"/>
        <v>242.5822865491599</v>
      </c>
      <c r="AB289" s="5">
        <f t="shared" si="31"/>
        <v>7.75</v>
      </c>
      <c r="AC289" s="5">
        <f t="shared" si="32"/>
        <v>32</v>
      </c>
      <c r="AD289" s="5">
        <f t="shared" si="33"/>
        <v>6</v>
      </c>
      <c r="AE289" s="5" t="str">
        <f t="shared" si="34"/>
        <v>Shortage</v>
      </c>
    </row>
    <row r="290" spans="1:31" x14ac:dyDescent="0.25">
      <c r="A290" t="s">
        <v>793</v>
      </c>
      <c r="B290" s="2">
        <v>46112</v>
      </c>
      <c r="C290" t="s">
        <v>794</v>
      </c>
      <c r="D290" t="s">
        <v>62</v>
      </c>
      <c r="E290" t="s">
        <v>63</v>
      </c>
      <c r="F290" t="s">
        <v>35</v>
      </c>
      <c r="G290" t="s">
        <v>43</v>
      </c>
      <c r="H290" t="s">
        <v>88</v>
      </c>
      <c r="I290">
        <v>8</v>
      </c>
      <c r="J290">
        <v>19</v>
      </c>
      <c r="K290">
        <v>8</v>
      </c>
      <c r="L290">
        <v>11</v>
      </c>
      <c r="M290">
        <v>0</v>
      </c>
      <c r="N290">
        <v>19</v>
      </c>
      <c r="O290">
        <v>1</v>
      </c>
      <c r="P290">
        <v>35</v>
      </c>
      <c r="Q290">
        <v>7.42</v>
      </c>
      <c r="R290">
        <v>140.97999999999999</v>
      </c>
      <c r="S290">
        <v>19921</v>
      </c>
      <c r="T290">
        <v>19965</v>
      </c>
      <c r="U290">
        <v>522</v>
      </c>
      <c r="V290">
        <v>19443</v>
      </c>
      <c r="W290" s="3">
        <f t="shared" si="28"/>
        <v>137.91317917435097</v>
      </c>
      <c r="X290">
        <v>118.01656521145939</v>
      </c>
      <c r="Y290" s="3">
        <v>118.01656521145939</v>
      </c>
      <c r="Z290" s="4">
        <f t="shared" si="29"/>
        <v>1.1685917051325911</v>
      </c>
      <c r="AA290" s="5">
        <f t="shared" si="30"/>
        <v>168.7983374563224</v>
      </c>
      <c r="AB290" s="5">
        <f t="shared" si="31"/>
        <v>7.416666666666667</v>
      </c>
      <c r="AC290" s="5">
        <f t="shared" si="32"/>
        <v>23</v>
      </c>
      <c r="AD290" s="5">
        <f t="shared" si="33"/>
        <v>4</v>
      </c>
      <c r="AE290" s="5" t="str">
        <f t="shared" si="34"/>
        <v>Shortage</v>
      </c>
    </row>
    <row r="291" spans="1:31" x14ac:dyDescent="0.25">
      <c r="A291" t="s">
        <v>795</v>
      </c>
      <c r="B291" s="2">
        <v>46112</v>
      </c>
      <c r="C291" t="s">
        <v>796</v>
      </c>
      <c r="D291" t="s">
        <v>309</v>
      </c>
      <c r="E291" t="s">
        <v>135</v>
      </c>
      <c r="F291" t="s">
        <v>55</v>
      </c>
      <c r="G291" t="s">
        <v>79</v>
      </c>
      <c r="H291" t="s">
        <v>37</v>
      </c>
      <c r="I291">
        <v>8</v>
      </c>
      <c r="J291">
        <v>14</v>
      </c>
      <c r="K291">
        <v>4</v>
      </c>
      <c r="L291">
        <v>10</v>
      </c>
      <c r="M291">
        <v>0</v>
      </c>
      <c r="N291">
        <v>14</v>
      </c>
      <c r="O291">
        <v>3</v>
      </c>
      <c r="P291">
        <v>20</v>
      </c>
      <c r="Q291">
        <v>7.67</v>
      </c>
      <c r="R291">
        <v>107.38</v>
      </c>
      <c r="S291">
        <v>11762</v>
      </c>
      <c r="T291">
        <v>8860</v>
      </c>
      <c r="U291">
        <v>206</v>
      </c>
      <c r="V291">
        <v>8654</v>
      </c>
      <c r="W291" s="3">
        <f t="shared" si="28"/>
        <v>80.592289066865348</v>
      </c>
      <c r="X291">
        <v>99.520305551967823</v>
      </c>
      <c r="Y291" s="3">
        <v>99.520305551967823</v>
      </c>
      <c r="Z291" s="4">
        <f t="shared" si="29"/>
        <v>0.80980749224871917</v>
      </c>
      <c r="AA291" s="5">
        <f t="shared" si="30"/>
        <v>118.18693617111215</v>
      </c>
      <c r="AB291" s="5">
        <f t="shared" si="31"/>
        <v>7.666666666666667</v>
      </c>
      <c r="AC291" s="5">
        <f t="shared" si="32"/>
        <v>16</v>
      </c>
      <c r="AD291" s="5">
        <f t="shared" si="33"/>
        <v>2</v>
      </c>
      <c r="AE291" s="5" t="str">
        <f t="shared" si="34"/>
        <v>Shortage</v>
      </c>
    </row>
    <row r="292" spans="1:31" x14ac:dyDescent="0.25">
      <c r="A292" t="s">
        <v>797</v>
      </c>
      <c r="B292" s="2">
        <v>46112</v>
      </c>
      <c r="C292" t="s">
        <v>798</v>
      </c>
      <c r="D292" t="s">
        <v>799</v>
      </c>
      <c r="E292" t="s">
        <v>800</v>
      </c>
      <c r="F292" t="s">
        <v>68</v>
      </c>
      <c r="G292" t="s">
        <v>79</v>
      </c>
      <c r="H292" t="s">
        <v>88</v>
      </c>
      <c r="I292">
        <v>8</v>
      </c>
      <c r="J292">
        <v>22</v>
      </c>
      <c r="K292">
        <v>10</v>
      </c>
      <c r="L292">
        <v>12</v>
      </c>
      <c r="M292">
        <v>0</v>
      </c>
      <c r="N292">
        <v>22</v>
      </c>
      <c r="O292">
        <v>0</v>
      </c>
      <c r="P292">
        <v>44</v>
      </c>
      <c r="Q292">
        <v>7.27</v>
      </c>
      <c r="R292">
        <v>159.94</v>
      </c>
      <c r="S292">
        <v>19989</v>
      </c>
      <c r="T292">
        <v>19209</v>
      </c>
      <c r="U292">
        <v>869</v>
      </c>
      <c r="V292">
        <v>18340</v>
      </c>
      <c r="W292" s="3">
        <f t="shared" si="28"/>
        <v>114.66800050018757</v>
      </c>
      <c r="X292">
        <v>114.6579540175248</v>
      </c>
      <c r="Y292" s="3">
        <v>114.6579540175248</v>
      </c>
      <c r="Z292" s="4">
        <f t="shared" si="29"/>
        <v>1.0000876213320642</v>
      </c>
      <c r="AA292" s="5">
        <f t="shared" si="30"/>
        <v>174.3359208812046</v>
      </c>
      <c r="AB292" s="5">
        <f t="shared" si="31"/>
        <v>7.2666666666666666</v>
      </c>
      <c r="AC292" s="5">
        <f t="shared" si="32"/>
        <v>24</v>
      </c>
      <c r="AD292" s="5">
        <f t="shared" si="33"/>
        <v>2</v>
      </c>
      <c r="AE292" s="5" t="str">
        <f t="shared" si="34"/>
        <v>Shortage</v>
      </c>
    </row>
    <row r="293" spans="1:31" x14ac:dyDescent="0.25">
      <c r="A293" t="s">
        <v>801</v>
      </c>
      <c r="B293" s="2">
        <v>46114</v>
      </c>
      <c r="C293" t="s">
        <v>802</v>
      </c>
      <c r="D293" t="s">
        <v>111</v>
      </c>
      <c r="E293" t="s">
        <v>112</v>
      </c>
      <c r="F293" t="s">
        <v>35</v>
      </c>
      <c r="G293" t="s">
        <v>43</v>
      </c>
      <c r="H293" t="s">
        <v>37</v>
      </c>
      <c r="I293">
        <v>8</v>
      </c>
      <c r="J293">
        <v>21</v>
      </c>
      <c r="K293">
        <v>9</v>
      </c>
      <c r="L293">
        <v>12</v>
      </c>
      <c r="M293">
        <v>0</v>
      </c>
      <c r="N293">
        <v>21</v>
      </c>
      <c r="O293">
        <v>2</v>
      </c>
      <c r="P293">
        <v>51</v>
      </c>
      <c r="Q293">
        <v>7.15</v>
      </c>
      <c r="R293">
        <v>150.15</v>
      </c>
      <c r="S293">
        <v>20136</v>
      </c>
      <c r="T293">
        <v>18624</v>
      </c>
      <c r="U293">
        <v>503</v>
      </c>
      <c r="V293">
        <v>18121</v>
      </c>
      <c r="W293" s="3">
        <f t="shared" si="28"/>
        <v>120.68598068598068</v>
      </c>
      <c r="X293">
        <v>118.01656521145939</v>
      </c>
      <c r="Y293" s="3">
        <v>118.01656521145939</v>
      </c>
      <c r="Z293" s="4">
        <f t="shared" si="29"/>
        <v>1.0226189897133364</v>
      </c>
      <c r="AA293" s="5">
        <f t="shared" si="30"/>
        <v>170.6201156076757</v>
      </c>
      <c r="AB293" s="5">
        <f t="shared" si="31"/>
        <v>7.15</v>
      </c>
      <c r="AC293" s="5">
        <f t="shared" si="32"/>
        <v>24</v>
      </c>
      <c r="AD293" s="5">
        <f t="shared" si="33"/>
        <v>3</v>
      </c>
      <c r="AE293" s="5" t="str">
        <f t="shared" si="34"/>
        <v>Shortage</v>
      </c>
    </row>
    <row r="294" spans="1:31" x14ac:dyDescent="0.25">
      <c r="A294" t="s">
        <v>803</v>
      </c>
      <c r="B294" s="2">
        <v>46114</v>
      </c>
      <c r="C294" t="s">
        <v>804</v>
      </c>
      <c r="D294" t="s">
        <v>402</v>
      </c>
      <c r="E294" t="s">
        <v>403</v>
      </c>
      <c r="F294" t="s">
        <v>42</v>
      </c>
      <c r="G294" t="s">
        <v>79</v>
      </c>
      <c r="H294" t="s">
        <v>88</v>
      </c>
      <c r="I294">
        <v>8</v>
      </c>
      <c r="J294">
        <v>16</v>
      </c>
      <c r="K294">
        <v>6</v>
      </c>
      <c r="L294">
        <v>10</v>
      </c>
      <c r="M294">
        <v>1</v>
      </c>
      <c r="N294">
        <v>15</v>
      </c>
      <c r="O294">
        <v>3</v>
      </c>
      <c r="P294">
        <v>33</v>
      </c>
      <c r="Q294">
        <v>7.45</v>
      </c>
      <c r="R294">
        <v>111.75</v>
      </c>
      <c r="S294">
        <v>14204</v>
      </c>
      <c r="T294">
        <v>10379</v>
      </c>
      <c r="U294">
        <v>322</v>
      </c>
      <c r="V294">
        <v>10057</v>
      </c>
      <c r="W294" s="3">
        <f t="shared" si="28"/>
        <v>89.995525727069349</v>
      </c>
      <c r="X294">
        <v>99.399922570654283</v>
      </c>
      <c r="Y294" s="3">
        <v>99.399922570654283</v>
      </c>
      <c r="Z294" s="4">
        <f t="shared" si="29"/>
        <v>0.90538828803513194</v>
      </c>
      <c r="AA294" s="5">
        <f t="shared" si="30"/>
        <v>142.89749561830573</v>
      </c>
      <c r="AB294" s="5">
        <f t="shared" si="31"/>
        <v>7.45</v>
      </c>
      <c r="AC294" s="5">
        <f t="shared" si="32"/>
        <v>20</v>
      </c>
      <c r="AD294" s="5">
        <f t="shared" si="33"/>
        <v>5</v>
      </c>
      <c r="AE294" s="5" t="str">
        <f t="shared" si="34"/>
        <v>Shortage</v>
      </c>
    </row>
    <row r="295" spans="1:31" x14ac:dyDescent="0.25">
      <c r="A295" t="s">
        <v>805</v>
      </c>
      <c r="B295" s="2">
        <v>46115</v>
      </c>
      <c r="C295" t="s">
        <v>806</v>
      </c>
      <c r="D295" t="s">
        <v>95</v>
      </c>
      <c r="E295" t="s">
        <v>96</v>
      </c>
      <c r="F295" t="s">
        <v>55</v>
      </c>
      <c r="G295" t="s">
        <v>36</v>
      </c>
      <c r="H295" t="s">
        <v>88</v>
      </c>
      <c r="I295">
        <v>8</v>
      </c>
      <c r="J295">
        <v>19</v>
      </c>
      <c r="K295">
        <v>6</v>
      </c>
      <c r="L295">
        <v>13</v>
      </c>
      <c r="M295">
        <v>1</v>
      </c>
      <c r="N295">
        <v>18</v>
      </c>
      <c r="O295">
        <v>2</v>
      </c>
      <c r="P295">
        <v>15</v>
      </c>
      <c r="Q295">
        <v>7.75</v>
      </c>
      <c r="R295">
        <v>139.5</v>
      </c>
      <c r="S295">
        <v>16534</v>
      </c>
      <c r="T295">
        <v>13776</v>
      </c>
      <c r="U295">
        <v>100</v>
      </c>
      <c r="V295">
        <v>13676</v>
      </c>
      <c r="W295" s="3">
        <f t="shared" si="28"/>
        <v>98.035842293906811</v>
      </c>
      <c r="X295">
        <v>108.32817332835501</v>
      </c>
      <c r="Y295" s="3">
        <v>108.32817332835501</v>
      </c>
      <c r="Z295" s="4">
        <f t="shared" si="29"/>
        <v>0.90498934193922964</v>
      </c>
      <c r="AA295" s="5">
        <f t="shared" si="30"/>
        <v>152.62880829609824</v>
      </c>
      <c r="AB295" s="5">
        <f t="shared" si="31"/>
        <v>7.75</v>
      </c>
      <c r="AC295" s="5">
        <f t="shared" si="32"/>
        <v>20</v>
      </c>
      <c r="AD295" s="5">
        <f t="shared" si="33"/>
        <v>2</v>
      </c>
      <c r="AE295" s="5" t="str">
        <f t="shared" si="34"/>
        <v>Shortage</v>
      </c>
    </row>
    <row r="296" spans="1:31" x14ac:dyDescent="0.25">
      <c r="A296" t="s">
        <v>807</v>
      </c>
      <c r="B296" s="2">
        <v>46115</v>
      </c>
      <c r="C296" t="s">
        <v>808</v>
      </c>
      <c r="D296" t="s">
        <v>303</v>
      </c>
      <c r="E296" t="s">
        <v>304</v>
      </c>
      <c r="F296" t="s">
        <v>35</v>
      </c>
      <c r="G296" t="s">
        <v>43</v>
      </c>
      <c r="H296" t="s">
        <v>69</v>
      </c>
      <c r="I296">
        <v>8</v>
      </c>
      <c r="J296">
        <v>20</v>
      </c>
      <c r="K296">
        <v>7</v>
      </c>
      <c r="L296">
        <v>13</v>
      </c>
      <c r="M296">
        <v>1</v>
      </c>
      <c r="N296">
        <v>19</v>
      </c>
      <c r="O296">
        <v>1</v>
      </c>
      <c r="P296">
        <v>49</v>
      </c>
      <c r="Q296">
        <v>7.18</v>
      </c>
      <c r="R296">
        <v>136.41999999999999</v>
      </c>
      <c r="S296">
        <v>20264</v>
      </c>
      <c r="T296">
        <v>17254</v>
      </c>
      <c r="U296">
        <v>302</v>
      </c>
      <c r="V296">
        <v>16952</v>
      </c>
      <c r="W296" s="3">
        <f t="shared" si="28"/>
        <v>124.26330450080634</v>
      </c>
      <c r="X296">
        <v>118.01656521145939</v>
      </c>
      <c r="Y296" s="3">
        <v>118.01656521145939</v>
      </c>
      <c r="Z296" s="4">
        <f t="shared" si="29"/>
        <v>1.0529310379280585</v>
      </c>
      <c r="AA296" s="5">
        <f t="shared" si="30"/>
        <v>171.7047091117372</v>
      </c>
      <c r="AB296" s="5">
        <f t="shared" si="31"/>
        <v>7.1833333333333336</v>
      </c>
      <c r="AC296" s="5">
        <f t="shared" si="32"/>
        <v>24</v>
      </c>
      <c r="AD296" s="5">
        <f t="shared" si="33"/>
        <v>5</v>
      </c>
      <c r="AE296" s="5" t="str">
        <f t="shared" si="34"/>
        <v>Shortage</v>
      </c>
    </row>
    <row r="297" spans="1:31" x14ac:dyDescent="0.25">
      <c r="A297" t="s">
        <v>809</v>
      </c>
      <c r="B297" s="2">
        <v>46117</v>
      </c>
      <c r="C297" t="s">
        <v>810</v>
      </c>
      <c r="D297" t="s">
        <v>62</v>
      </c>
      <c r="E297" t="s">
        <v>63</v>
      </c>
      <c r="F297" t="s">
        <v>55</v>
      </c>
      <c r="G297" t="s">
        <v>36</v>
      </c>
      <c r="H297" t="s">
        <v>37</v>
      </c>
      <c r="I297">
        <v>10</v>
      </c>
      <c r="J297">
        <v>13</v>
      </c>
      <c r="K297">
        <v>6</v>
      </c>
      <c r="L297">
        <v>7</v>
      </c>
      <c r="M297">
        <v>1</v>
      </c>
      <c r="N297">
        <v>12</v>
      </c>
      <c r="O297">
        <v>0</v>
      </c>
      <c r="P297">
        <v>36</v>
      </c>
      <c r="Q297">
        <v>9.4</v>
      </c>
      <c r="R297">
        <v>112.8</v>
      </c>
      <c r="S297">
        <v>14179</v>
      </c>
      <c r="T297">
        <v>12682</v>
      </c>
      <c r="U297">
        <v>500</v>
      </c>
      <c r="V297">
        <v>12182</v>
      </c>
      <c r="W297" s="3">
        <f t="shared" si="28"/>
        <v>107.99645390070923</v>
      </c>
      <c r="X297">
        <v>108.32817332835501</v>
      </c>
      <c r="Y297" s="3">
        <v>108.32817332835501</v>
      </c>
      <c r="Z297" s="4">
        <f t="shared" si="29"/>
        <v>0.99693782866032177</v>
      </c>
      <c r="AA297" s="5">
        <f t="shared" si="30"/>
        <v>130.88931128767251</v>
      </c>
      <c r="AB297" s="5">
        <f t="shared" si="31"/>
        <v>9.4</v>
      </c>
      <c r="AC297" s="5">
        <f t="shared" si="32"/>
        <v>14</v>
      </c>
      <c r="AD297" s="5">
        <f t="shared" si="33"/>
        <v>2</v>
      </c>
      <c r="AE297" s="5" t="str">
        <f t="shared" si="34"/>
        <v>Shortage</v>
      </c>
    </row>
    <row r="298" spans="1:31" x14ac:dyDescent="0.25">
      <c r="A298" t="s">
        <v>811</v>
      </c>
      <c r="B298" s="2">
        <v>46117</v>
      </c>
      <c r="C298" t="s">
        <v>812</v>
      </c>
      <c r="D298" t="s">
        <v>767</v>
      </c>
      <c r="E298" t="s">
        <v>768</v>
      </c>
      <c r="F298" t="s">
        <v>35</v>
      </c>
      <c r="G298" t="s">
        <v>43</v>
      </c>
      <c r="H298" t="s">
        <v>69</v>
      </c>
      <c r="I298">
        <v>10</v>
      </c>
      <c r="J298">
        <v>23</v>
      </c>
      <c r="K298">
        <v>8</v>
      </c>
      <c r="L298">
        <v>15</v>
      </c>
      <c r="M298">
        <v>0</v>
      </c>
      <c r="N298">
        <v>23</v>
      </c>
      <c r="O298">
        <v>2</v>
      </c>
      <c r="P298">
        <v>46</v>
      </c>
      <c r="Q298">
        <v>9.23</v>
      </c>
      <c r="R298">
        <v>212.29</v>
      </c>
      <c r="S298">
        <v>28108</v>
      </c>
      <c r="T298">
        <v>23646</v>
      </c>
      <c r="U298">
        <v>827</v>
      </c>
      <c r="V298">
        <v>22819</v>
      </c>
      <c r="W298" s="3">
        <f t="shared" si="28"/>
        <v>107.4897545809977</v>
      </c>
      <c r="X298">
        <v>118.01656521145939</v>
      </c>
      <c r="Y298" s="3">
        <v>118.01656521145939</v>
      </c>
      <c r="Z298" s="4">
        <f t="shared" si="29"/>
        <v>0.91080226227902839</v>
      </c>
      <c r="AA298" s="5">
        <f t="shared" si="30"/>
        <v>238.16995478250638</v>
      </c>
      <c r="AB298" s="5">
        <f t="shared" si="31"/>
        <v>9.2333333333333325</v>
      </c>
      <c r="AC298" s="5">
        <f t="shared" si="32"/>
        <v>26</v>
      </c>
      <c r="AD298" s="5">
        <f t="shared" si="33"/>
        <v>3</v>
      </c>
      <c r="AE298" s="5" t="str">
        <f t="shared" si="34"/>
        <v>Shortage</v>
      </c>
    </row>
    <row r="299" spans="1:31" x14ac:dyDescent="0.25">
      <c r="A299" t="s">
        <v>813</v>
      </c>
      <c r="B299" s="2">
        <v>46118</v>
      </c>
      <c r="C299" t="s">
        <v>814</v>
      </c>
      <c r="D299" t="s">
        <v>142</v>
      </c>
      <c r="E299" t="s">
        <v>143</v>
      </c>
      <c r="F299" t="s">
        <v>55</v>
      </c>
      <c r="G299" t="s">
        <v>36</v>
      </c>
      <c r="H299" t="s">
        <v>37</v>
      </c>
      <c r="I299">
        <v>10</v>
      </c>
      <c r="J299">
        <v>19</v>
      </c>
      <c r="K299">
        <v>8</v>
      </c>
      <c r="L299">
        <v>11</v>
      </c>
      <c r="M299">
        <v>3</v>
      </c>
      <c r="N299">
        <v>16</v>
      </c>
      <c r="O299">
        <v>1</v>
      </c>
      <c r="P299">
        <v>24</v>
      </c>
      <c r="Q299">
        <v>9.6</v>
      </c>
      <c r="R299">
        <v>153.6</v>
      </c>
      <c r="S299">
        <v>17735</v>
      </c>
      <c r="T299">
        <v>13091</v>
      </c>
      <c r="U299">
        <v>209</v>
      </c>
      <c r="V299">
        <v>12882</v>
      </c>
      <c r="W299" s="3">
        <f t="shared" si="28"/>
        <v>83.8671875</v>
      </c>
      <c r="X299">
        <v>108.32817332835501</v>
      </c>
      <c r="Y299" s="3">
        <v>108.32817332835501</v>
      </c>
      <c r="Z299" s="4">
        <f t="shared" si="29"/>
        <v>0.77419552941033187</v>
      </c>
      <c r="AA299" s="5">
        <f t="shared" si="30"/>
        <v>163.71549020994934</v>
      </c>
      <c r="AB299" s="5">
        <f t="shared" si="31"/>
        <v>9.6</v>
      </c>
      <c r="AC299" s="5">
        <f t="shared" si="32"/>
        <v>18</v>
      </c>
      <c r="AD299" s="5">
        <f t="shared" si="33"/>
        <v>2</v>
      </c>
      <c r="AE299" s="5" t="str">
        <f t="shared" si="34"/>
        <v>Shortage</v>
      </c>
    </row>
    <row r="300" spans="1:31" x14ac:dyDescent="0.25">
      <c r="A300" t="s">
        <v>815</v>
      </c>
      <c r="B300" s="2">
        <v>46119</v>
      </c>
      <c r="C300" t="s">
        <v>816</v>
      </c>
      <c r="D300" t="s">
        <v>275</v>
      </c>
      <c r="E300" t="s">
        <v>276</v>
      </c>
      <c r="F300" t="s">
        <v>42</v>
      </c>
      <c r="G300" t="s">
        <v>43</v>
      </c>
      <c r="H300" t="s">
        <v>37</v>
      </c>
      <c r="I300">
        <v>9</v>
      </c>
      <c r="J300">
        <v>22</v>
      </c>
      <c r="K300">
        <v>9</v>
      </c>
      <c r="L300">
        <v>13</v>
      </c>
      <c r="M300">
        <v>0</v>
      </c>
      <c r="N300">
        <v>22</v>
      </c>
      <c r="O300">
        <v>3</v>
      </c>
      <c r="P300">
        <v>46</v>
      </c>
      <c r="Q300">
        <v>8.23</v>
      </c>
      <c r="R300">
        <v>181.06</v>
      </c>
      <c r="S300">
        <v>22799</v>
      </c>
      <c r="T300">
        <v>21106</v>
      </c>
      <c r="U300">
        <v>740</v>
      </c>
      <c r="V300">
        <v>20366</v>
      </c>
      <c r="W300" s="3">
        <f t="shared" si="28"/>
        <v>112.48205014912183</v>
      </c>
      <c r="X300">
        <v>115.1855592022217</v>
      </c>
      <c r="Y300" s="3">
        <v>115.1855592022217</v>
      </c>
      <c r="Z300" s="4">
        <f t="shared" si="29"/>
        <v>0.97652909729462234</v>
      </c>
      <c r="AA300" s="5">
        <f t="shared" si="30"/>
        <v>197.93279780821911</v>
      </c>
      <c r="AB300" s="5">
        <f t="shared" si="31"/>
        <v>8.2333333333333325</v>
      </c>
      <c r="AC300" s="5">
        <f t="shared" si="32"/>
        <v>25</v>
      </c>
      <c r="AD300" s="5">
        <f t="shared" si="33"/>
        <v>3</v>
      </c>
      <c r="AE300" s="5" t="str">
        <f t="shared" si="34"/>
        <v>Shortage</v>
      </c>
    </row>
    <row r="301" spans="1:31" x14ac:dyDescent="0.25">
      <c r="A301" t="s">
        <v>817</v>
      </c>
      <c r="B301" s="2">
        <v>46120</v>
      </c>
      <c r="C301" t="s">
        <v>818</v>
      </c>
      <c r="D301" t="s">
        <v>271</v>
      </c>
      <c r="E301" t="s">
        <v>272</v>
      </c>
      <c r="F301" t="s">
        <v>55</v>
      </c>
      <c r="G301" t="s">
        <v>79</v>
      </c>
      <c r="H301" t="s">
        <v>44</v>
      </c>
      <c r="I301">
        <v>8</v>
      </c>
      <c r="J301">
        <v>17</v>
      </c>
      <c r="K301">
        <v>6</v>
      </c>
      <c r="L301">
        <v>11</v>
      </c>
      <c r="M301">
        <v>2</v>
      </c>
      <c r="N301">
        <v>15</v>
      </c>
      <c r="O301">
        <v>2</v>
      </c>
      <c r="P301">
        <v>47</v>
      </c>
      <c r="Q301">
        <v>7.22</v>
      </c>
      <c r="R301">
        <v>108.3</v>
      </c>
      <c r="S301">
        <v>9825</v>
      </c>
      <c r="T301">
        <v>8779</v>
      </c>
      <c r="U301">
        <v>89</v>
      </c>
      <c r="V301">
        <v>8690</v>
      </c>
      <c r="W301" s="3">
        <f t="shared" si="28"/>
        <v>80.240073868882732</v>
      </c>
      <c r="X301">
        <v>99.520305551967823</v>
      </c>
      <c r="Y301" s="3">
        <v>99.520305551967823</v>
      </c>
      <c r="Z301" s="4">
        <f t="shared" si="29"/>
        <v>0.80626836326364293</v>
      </c>
      <c r="AA301" s="5">
        <f t="shared" si="30"/>
        <v>98.723571491343051</v>
      </c>
      <c r="AB301" s="5">
        <f t="shared" si="31"/>
        <v>7.2166666666666668</v>
      </c>
      <c r="AC301" s="5">
        <f t="shared" si="32"/>
        <v>14</v>
      </c>
      <c r="AD301" s="5">
        <f t="shared" si="33"/>
        <v>-1</v>
      </c>
      <c r="AE301" s="5" t="str">
        <f t="shared" si="34"/>
        <v>Surplus</v>
      </c>
    </row>
    <row r="302" spans="1:31" x14ac:dyDescent="0.25">
      <c r="A302" t="s">
        <v>819</v>
      </c>
      <c r="B302" s="2">
        <v>46123</v>
      </c>
      <c r="C302" t="s">
        <v>820</v>
      </c>
      <c r="D302" t="s">
        <v>72</v>
      </c>
      <c r="E302" t="s">
        <v>73</v>
      </c>
      <c r="F302" t="s">
        <v>42</v>
      </c>
      <c r="G302" t="s">
        <v>79</v>
      </c>
      <c r="H302" t="s">
        <v>44</v>
      </c>
      <c r="I302">
        <v>8</v>
      </c>
      <c r="J302">
        <v>13</v>
      </c>
      <c r="K302">
        <v>4</v>
      </c>
      <c r="L302">
        <v>9</v>
      </c>
      <c r="M302">
        <v>0</v>
      </c>
      <c r="N302">
        <v>13</v>
      </c>
      <c r="O302">
        <v>1</v>
      </c>
      <c r="P302">
        <v>44</v>
      </c>
      <c r="Q302">
        <v>7.27</v>
      </c>
      <c r="R302">
        <v>94.51</v>
      </c>
      <c r="S302">
        <v>10663</v>
      </c>
      <c r="T302">
        <v>8899</v>
      </c>
      <c r="U302">
        <v>237</v>
      </c>
      <c r="V302">
        <v>8662</v>
      </c>
      <c r="W302" s="3">
        <f t="shared" si="28"/>
        <v>91.651677071209392</v>
      </c>
      <c r="X302">
        <v>99.399922570654283</v>
      </c>
      <c r="Y302" s="3">
        <v>99.399922570654283</v>
      </c>
      <c r="Z302" s="4">
        <f t="shared" si="29"/>
        <v>0.92204978334930421</v>
      </c>
      <c r="AA302" s="5">
        <f t="shared" si="30"/>
        <v>107.27372541382667</v>
      </c>
      <c r="AB302" s="5">
        <f t="shared" si="31"/>
        <v>7.2666666666666666</v>
      </c>
      <c r="AC302" s="5">
        <f t="shared" si="32"/>
        <v>15</v>
      </c>
      <c r="AD302" s="5">
        <f t="shared" si="33"/>
        <v>2</v>
      </c>
      <c r="AE302" s="5" t="str">
        <f t="shared" si="34"/>
        <v>Shortage</v>
      </c>
    </row>
    <row r="303" spans="1:31" x14ac:dyDescent="0.25">
      <c r="A303" t="s">
        <v>821</v>
      </c>
      <c r="B303" s="2">
        <v>46124</v>
      </c>
      <c r="C303" t="s">
        <v>822</v>
      </c>
      <c r="D303" t="s">
        <v>254</v>
      </c>
      <c r="E303" t="s">
        <v>157</v>
      </c>
      <c r="F303" t="s">
        <v>42</v>
      </c>
      <c r="G303" t="s">
        <v>36</v>
      </c>
      <c r="H303" t="s">
        <v>50</v>
      </c>
      <c r="I303">
        <v>8</v>
      </c>
      <c r="J303">
        <v>21</v>
      </c>
      <c r="K303">
        <v>7</v>
      </c>
      <c r="L303">
        <v>14</v>
      </c>
      <c r="M303">
        <v>0</v>
      </c>
      <c r="N303">
        <v>21</v>
      </c>
      <c r="O303">
        <v>0</v>
      </c>
      <c r="P303">
        <v>14</v>
      </c>
      <c r="Q303">
        <v>7.77</v>
      </c>
      <c r="R303">
        <v>163.16999999999999</v>
      </c>
      <c r="S303">
        <v>18678</v>
      </c>
      <c r="T303">
        <v>19250</v>
      </c>
      <c r="U303">
        <v>707</v>
      </c>
      <c r="V303">
        <v>18543</v>
      </c>
      <c r="W303" s="3">
        <f t="shared" si="28"/>
        <v>113.64221364221365</v>
      </c>
      <c r="X303">
        <v>112.98347693798689</v>
      </c>
      <c r="Y303" s="3">
        <v>112.98347693798689</v>
      </c>
      <c r="Z303" s="4">
        <f t="shared" si="29"/>
        <v>1.0058303808847051</v>
      </c>
      <c r="AA303" s="5">
        <f t="shared" si="30"/>
        <v>165.31620822973761</v>
      </c>
      <c r="AB303" s="5">
        <f t="shared" si="31"/>
        <v>7.7666666666666666</v>
      </c>
      <c r="AC303" s="5">
        <f t="shared" si="32"/>
        <v>22</v>
      </c>
      <c r="AD303" s="5">
        <f t="shared" si="33"/>
        <v>1</v>
      </c>
      <c r="AE303" s="5" t="str">
        <f t="shared" si="34"/>
        <v>Shortage</v>
      </c>
    </row>
    <row r="304" spans="1:31" x14ac:dyDescent="0.25">
      <c r="A304" t="s">
        <v>823</v>
      </c>
      <c r="B304" s="2">
        <v>46124</v>
      </c>
      <c r="C304" t="s">
        <v>824</v>
      </c>
      <c r="D304" t="s">
        <v>402</v>
      </c>
      <c r="E304" t="s">
        <v>403</v>
      </c>
      <c r="F304" t="s">
        <v>55</v>
      </c>
      <c r="G304" t="s">
        <v>36</v>
      </c>
      <c r="H304" t="s">
        <v>37</v>
      </c>
      <c r="I304">
        <v>9</v>
      </c>
      <c r="J304">
        <v>18</v>
      </c>
      <c r="K304">
        <v>9</v>
      </c>
      <c r="L304">
        <v>9</v>
      </c>
      <c r="M304">
        <v>0</v>
      </c>
      <c r="N304">
        <v>18</v>
      </c>
      <c r="O304">
        <v>0</v>
      </c>
      <c r="P304">
        <v>20</v>
      </c>
      <c r="Q304">
        <v>8.67</v>
      </c>
      <c r="R304">
        <v>156.06</v>
      </c>
      <c r="S304">
        <v>19193</v>
      </c>
      <c r="T304">
        <v>17261</v>
      </c>
      <c r="U304">
        <v>569</v>
      </c>
      <c r="V304">
        <v>16692</v>
      </c>
      <c r="W304" s="3">
        <f t="shared" si="28"/>
        <v>106.95886197616301</v>
      </c>
      <c r="X304">
        <v>108.32817332835501</v>
      </c>
      <c r="Y304" s="3">
        <v>108.32817332835501</v>
      </c>
      <c r="Z304" s="4">
        <f t="shared" si="29"/>
        <v>0.98735960083032637</v>
      </c>
      <c r="AA304" s="5">
        <f t="shared" si="30"/>
        <v>177.17459281643968</v>
      </c>
      <c r="AB304" s="5">
        <f t="shared" si="31"/>
        <v>8.6666666666666661</v>
      </c>
      <c r="AC304" s="5">
        <f t="shared" si="32"/>
        <v>21</v>
      </c>
      <c r="AD304" s="5">
        <f t="shared" si="33"/>
        <v>3</v>
      </c>
      <c r="AE304" s="5" t="str">
        <f t="shared" si="34"/>
        <v>Shortage</v>
      </c>
    </row>
    <row r="305" spans="1:31" x14ac:dyDescent="0.25">
      <c r="A305" t="s">
        <v>825</v>
      </c>
      <c r="B305" s="2">
        <v>46124</v>
      </c>
      <c r="C305" t="s">
        <v>826</v>
      </c>
      <c r="D305" t="s">
        <v>827</v>
      </c>
      <c r="E305" t="s">
        <v>828</v>
      </c>
      <c r="F305" t="s">
        <v>55</v>
      </c>
      <c r="G305" t="s">
        <v>43</v>
      </c>
      <c r="H305" t="s">
        <v>69</v>
      </c>
      <c r="I305">
        <v>8</v>
      </c>
      <c r="J305">
        <v>21</v>
      </c>
      <c r="K305">
        <v>8</v>
      </c>
      <c r="L305">
        <v>13</v>
      </c>
      <c r="M305">
        <v>0</v>
      </c>
      <c r="N305">
        <v>21</v>
      </c>
      <c r="O305">
        <v>2</v>
      </c>
      <c r="P305">
        <v>32</v>
      </c>
      <c r="Q305">
        <v>7.47</v>
      </c>
      <c r="R305">
        <v>156.87</v>
      </c>
      <c r="S305">
        <v>15234</v>
      </c>
      <c r="T305">
        <v>13679</v>
      </c>
      <c r="U305">
        <v>189</v>
      </c>
      <c r="V305">
        <v>13490</v>
      </c>
      <c r="W305" s="3">
        <f t="shared" si="28"/>
        <v>85.994772741760684</v>
      </c>
      <c r="X305">
        <v>109.38855294136761</v>
      </c>
      <c r="Y305" s="3">
        <v>109.38855294136761</v>
      </c>
      <c r="Z305" s="4">
        <f t="shared" si="29"/>
        <v>0.78614050949054959</v>
      </c>
      <c r="AA305" s="5">
        <f t="shared" si="30"/>
        <v>139.26502902150503</v>
      </c>
      <c r="AB305" s="5">
        <f t="shared" si="31"/>
        <v>7.4666666666666668</v>
      </c>
      <c r="AC305" s="5">
        <f t="shared" si="32"/>
        <v>19</v>
      </c>
      <c r="AD305" s="5">
        <f t="shared" si="33"/>
        <v>-2</v>
      </c>
      <c r="AE305" s="5" t="str">
        <f t="shared" si="34"/>
        <v>Surplus</v>
      </c>
    </row>
    <row r="306" spans="1:31" x14ac:dyDescent="0.25">
      <c r="A306" t="s">
        <v>829</v>
      </c>
      <c r="B306" s="2">
        <v>46125</v>
      </c>
      <c r="C306" t="s">
        <v>830</v>
      </c>
      <c r="D306" t="s">
        <v>123</v>
      </c>
      <c r="E306" t="s">
        <v>116</v>
      </c>
      <c r="F306" t="s">
        <v>42</v>
      </c>
      <c r="G306" t="s">
        <v>43</v>
      </c>
      <c r="H306" t="s">
        <v>44</v>
      </c>
      <c r="I306">
        <v>10</v>
      </c>
      <c r="J306">
        <v>22</v>
      </c>
      <c r="K306">
        <v>8</v>
      </c>
      <c r="L306">
        <v>14</v>
      </c>
      <c r="M306">
        <v>0</v>
      </c>
      <c r="N306">
        <v>22</v>
      </c>
      <c r="O306">
        <v>0</v>
      </c>
      <c r="P306">
        <v>46</v>
      </c>
      <c r="Q306">
        <v>9.23</v>
      </c>
      <c r="R306">
        <v>203.06</v>
      </c>
      <c r="S306">
        <v>27753</v>
      </c>
      <c r="T306">
        <v>23222</v>
      </c>
      <c r="U306">
        <v>341</v>
      </c>
      <c r="V306">
        <v>22881</v>
      </c>
      <c r="W306" s="3">
        <f t="shared" si="28"/>
        <v>112.68098099084014</v>
      </c>
      <c r="X306">
        <v>115.1855592022217</v>
      </c>
      <c r="Y306" s="3">
        <v>115.1855592022217</v>
      </c>
      <c r="Z306" s="4">
        <f t="shared" si="29"/>
        <v>0.97825614401034011</v>
      </c>
      <c r="AA306" s="5">
        <f t="shared" si="30"/>
        <v>240.94166136986294</v>
      </c>
      <c r="AB306" s="5">
        <f t="shared" si="31"/>
        <v>9.2333333333333325</v>
      </c>
      <c r="AC306" s="5">
        <f t="shared" si="32"/>
        <v>27</v>
      </c>
      <c r="AD306" s="5">
        <f t="shared" si="33"/>
        <v>5</v>
      </c>
      <c r="AE306" s="5" t="str">
        <f t="shared" si="34"/>
        <v>Shortage</v>
      </c>
    </row>
    <row r="307" spans="1:31" x14ac:dyDescent="0.25">
      <c r="A307" t="s">
        <v>831</v>
      </c>
      <c r="B307" s="2">
        <v>46125</v>
      </c>
      <c r="C307" t="s">
        <v>832</v>
      </c>
      <c r="D307" t="s">
        <v>359</v>
      </c>
      <c r="E307" t="s">
        <v>360</v>
      </c>
      <c r="F307" t="s">
        <v>68</v>
      </c>
      <c r="G307" t="s">
        <v>43</v>
      </c>
      <c r="H307" t="s">
        <v>74</v>
      </c>
      <c r="I307">
        <v>8</v>
      </c>
      <c r="J307">
        <v>26</v>
      </c>
      <c r="K307">
        <v>12</v>
      </c>
      <c r="L307">
        <v>14</v>
      </c>
      <c r="M307">
        <v>2</v>
      </c>
      <c r="N307">
        <v>24</v>
      </c>
      <c r="O307">
        <v>0</v>
      </c>
      <c r="P307">
        <v>32</v>
      </c>
      <c r="Q307">
        <v>7.47</v>
      </c>
      <c r="R307">
        <v>179.28</v>
      </c>
      <c r="S307">
        <v>27453</v>
      </c>
      <c r="T307">
        <v>18542</v>
      </c>
      <c r="U307">
        <v>534</v>
      </c>
      <c r="V307">
        <v>18008</v>
      </c>
      <c r="W307" s="3">
        <f t="shared" si="28"/>
        <v>100.44622936189201</v>
      </c>
      <c r="X307">
        <v>128.22014138735929</v>
      </c>
      <c r="Y307" s="3">
        <v>128.22014138735929</v>
      </c>
      <c r="Z307" s="4">
        <f t="shared" si="29"/>
        <v>0.78338885197793584</v>
      </c>
      <c r="AA307" s="5">
        <f t="shared" si="30"/>
        <v>214.10832731078614</v>
      </c>
      <c r="AB307" s="5">
        <f t="shared" si="31"/>
        <v>7.4666666666666668</v>
      </c>
      <c r="AC307" s="5">
        <f t="shared" si="32"/>
        <v>29</v>
      </c>
      <c r="AD307" s="5">
        <f t="shared" si="33"/>
        <v>5</v>
      </c>
      <c r="AE307" s="5" t="str">
        <f t="shared" si="34"/>
        <v>Shortage</v>
      </c>
    </row>
    <row r="308" spans="1:31" x14ac:dyDescent="0.25">
      <c r="A308" t="s">
        <v>833</v>
      </c>
      <c r="B308" s="2">
        <v>46126</v>
      </c>
      <c r="C308" t="s">
        <v>834</v>
      </c>
      <c r="D308" t="s">
        <v>346</v>
      </c>
      <c r="E308" t="s">
        <v>347</v>
      </c>
      <c r="F308" t="s">
        <v>42</v>
      </c>
      <c r="G308" t="s">
        <v>43</v>
      </c>
      <c r="H308" t="s">
        <v>74</v>
      </c>
      <c r="I308">
        <v>8</v>
      </c>
      <c r="J308">
        <v>21</v>
      </c>
      <c r="K308">
        <v>10</v>
      </c>
      <c r="L308">
        <v>11</v>
      </c>
      <c r="M308">
        <v>0</v>
      </c>
      <c r="N308">
        <v>21</v>
      </c>
      <c r="O308">
        <v>0</v>
      </c>
      <c r="P308">
        <v>15</v>
      </c>
      <c r="Q308">
        <v>7.75</v>
      </c>
      <c r="R308">
        <v>162.75</v>
      </c>
      <c r="S308">
        <v>18507</v>
      </c>
      <c r="T308">
        <v>17435</v>
      </c>
      <c r="U308">
        <v>508</v>
      </c>
      <c r="V308">
        <v>16927</v>
      </c>
      <c r="W308" s="3">
        <f t="shared" si="28"/>
        <v>104.00614439324117</v>
      </c>
      <c r="X308">
        <v>115.1855592022217</v>
      </c>
      <c r="Y308" s="3">
        <v>115.1855592022217</v>
      </c>
      <c r="Z308" s="4">
        <f t="shared" si="29"/>
        <v>0.90294430233781509</v>
      </c>
      <c r="AA308" s="5">
        <f t="shared" si="30"/>
        <v>160.67118246575336</v>
      </c>
      <c r="AB308" s="5">
        <f t="shared" si="31"/>
        <v>7.75</v>
      </c>
      <c r="AC308" s="5">
        <f t="shared" si="32"/>
        <v>21</v>
      </c>
      <c r="AD308" s="5">
        <f t="shared" si="33"/>
        <v>0</v>
      </c>
      <c r="AE308" s="5" t="str">
        <f t="shared" si="34"/>
        <v>Balanced</v>
      </c>
    </row>
    <row r="309" spans="1:31" x14ac:dyDescent="0.25">
      <c r="A309" t="s">
        <v>835</v>
      </c>
      <c r="B309" s="2">
        <v>46126</v>
      </c>
      <c r="C309" t="s">
        <v>836</v>
      </c>
      <c r="D309" t="s">
        <v>53</v>
      </c>
      <c r="E309" t="s">
        <v>54</v>
      </c>
      <c r="F309" t="s">
        <v>55</v>
      </c>
      <c r="G309" t="s">
        <v>79</v>
      </c>
      <c r="H309" t="s">
        <v>37</v>
      </c>
      <c r="I309">
        <v>8</v>
      </c>
      <c r="J309">
        <v>11</v>
      </c>
      <c r="K309">
        <v>5</v>
      </c>
      <c r="L309">
        <v>6</v>
      </c>
      <c r="M309">
        <v>0</v>
      </c>
      <c r="N309">
        <v>11</v>
      </c>
      <c r="O309">
        <v>2</v>
      </c>
      <c r="P309">
        <v>39</v>
      </c>
      <c r="Q309">
        <v>7.35</v>
      </c>
      <c r="R309">
        <v>80.849999999999994</v>
      </c>
      <c r="S309">
        <v>8935</v>
      </c>
      <c r="T309">
        <v>7830</v>
      </c>
      <c r="U309">
        <v>41</v>
      </c>
      <c r="V309">
        <v>7789</v>
      </c>
      <c r="W309" s="3">
        <f t="shared" si="28"/>
        <v>96.338899196042064</v>
      </c>
      <c r="X309">
        <v>99.520305551967823</v>
      </c>
      <c r="Y309" s="3">
        <v>99.520305551967823</v>
      </c>
      <c r="Z309" s="4">
        <f t="shared" si="29"/>
        <v>0.96803259055244273</v>
      </c>
      <c r="AA309" s="5">
        <f t="shared" si="30"/>
        <v>89.780672903323165</v>
      </c>
      <c r="AB309" s="5">
        <f t="shared" si="31"/>
        <v>7.35</v>
      </c>
      <c r="AC309" s="5">
        <f t="shared" si="32"/>
        <v>13</v>
      </c>
      <c r="AD309" s="5">
        <f t="shared" si="33"/>
        <v>2</v>
      </c>
      <c r="AE309" s="5" t="str">
        <f t="shared" si="34"/>
        <v>Shortage</v>
      </c>
    </row>
    <row r="310" spans="1:31" x14ac:dyDescent="0.25">
      <c r="A310" t="s">
        <v>837</v>
      </c>
      <c r="B310" s="2">
        <v>46127</v>
      </c>
      <c r="C310" t="s">
        <v>838</v>
      </c>
      <c r="D310" t="s">
        <v>542</v>
      </c>
      <c r="E310" t="s">
        <v>108</v>
      </c>
      <c r="F310" t="s">
        <v>68</v>
      </c>
      <c r="G310" t="s">
        <v>36</v>
      </c>
      <c r="H310" t="s">
        <v>69</v>
      </c>
      <c r="I310">
        <v>8</v>
      </c>
      <c r="J310">
        <v>27</v>
      </c>
      <c r="K310">
        <v>13</v>
      </c>
      <c r="L310">
        <v>14</v>
      </c>
      <c r="M310">
        <v>0</v>
      </c>
      <c r="N310">
        <v>27</v>
      </c>
      <c r="O310">
        <v>0</v>
      </c>
      <c r="P310">
        <v>40</v>
      </c>
      <c r="Q310">
        <v>7.33</v>
      </c>
      <c r="R310">
        <v>197.91</v>
      </c>
      <c r="S310">
        <v>29170</v>
      </c>
      <c r="T310">
        <v>22801</v>
      </c>
      <c r="U310">
        <v>748</v>
      </c>
      <c r="V310">
        <v>22053</v>
      </c>
      <c r="W310" s="3">
        <f t="shared" si="28"/>
        <v>111.42943762316204</v>
      </c>
      <c r="X310">
        <v>120.8174989437542</v>
      </c>
      <c r="Y310" s="3">
        <v>120.8174989437542</v>
      </c>
      <c r="Z310" s="4">
        <f t="shared" si="29"/>
        <v>0.92229551676977928</v>
      </c>
      <c r="AA310" s="5">
        <f t="shared" si="30"/>
        <v>241.4385354358304</v>
      </c>
      <c r="AB310" s="5">
        <f t="shared" si="31"/>
        <v>7.333333333333333</v>
      </c>
      <c r="AC310" s="5">
        <f t="shared" si="32"/>
        <v>33</v>
      </c>
      <c r="AD310" s="5">
        <f t="shared" si="33"/>
        <v>6</v>
      </c>
      <c r="AE310" s="5" t="str">
        <f t="shared" si="34"/>
        <v>Shortage</v>
      </c>
    </row>
    <row r="311" spans="1:31" x14ac:dyDescent="0.25">
      <c r="A311" t="s">
        <v>839</v>
      </c>
      <c r="B311" s="2">
        <v>46127</v>
      </c>
      <c r="C311" t="s">
        <v>840</v>
      </c>
      <c r="D311" t="s">
        <v>841</v>
      </c>
      <c r="E311" t="s">
        <v>842</v>
      </c>
      <c r="F311" t="s">
        <v>49</v>
      </c>
      <c r="G311" t="s">
        <v>43</v>
      </c>
      <c r="H311" t="s">
        <v>88</v>
      </c>
      <c r="I311">
        <v>9</v>
      </c>
      <c r="J311">
        <v>26</v>
      </c>
      <c r="K311">
        <v>12</v>
      </c>
      <c r="L311">
        <v>14</v>
      </c>
      <c r="M311">
        <v>1</v>
      </c>
      <c r="N311">
        <v>25</v>
      </c>
      <c r="O311">
        <v>0</v>
      </c>
      <c r="P311">
        <v>41</v>
      </c>
      <c r="Q311">
        <v>8.32</v>
      </c>
      <c r="R311">
        <v>208</v>
      </c>
      <c r="S311">
        <v>30080</v>
      </c>
      <c r="T311">
        <v>19546</v>
      </c>
      <c r="U311">
        <v>453</v>
      </c>
      <c r="V311">
        <v>19093</v>
      </c>
      <c r="W311" s="3">
        <f t="shared" si="28"/>
        <v>91.793269230769226</v>
      </c>
      <c r="X311">
        <v>124.78240035826239</v>
      </c>
      <c r="Y311" s="3">
        <v>124.78240035826239</v>
      </c>
      <c r="Z311" s="4">
        <f t="shared" si="29"/>
        <v>0.73562673075066543</v>
      </c>
      <c r="AA311" s="5">
        <f t="shared" si="30"/>
        <v>241.05963592331449</v>
      </c>
      <c r="AB311" s="5">
        <f t="shared" si="31"/>
        <v>8.3166666666666664</v>
      </c>
      <c r="AC311" s="5">
        <f t="shared" si="32"/>
        <v>29</v>
      </c>
      <c r="AD311" s="5">
        <f t="shared" si="33"/>
        <v>4</v>
      </c>
      <c r="AE311" s="5" t="str">
        <f t="shared" si="34"/>
        <v>Shortage</v>
      </c>
    </row>
    <row r="312" spans="1:31" x14ac:dyDescent="0.25">
      <c r="A312" t="s">
        <v>843</v>
      </c>
      <c r="B312" s="2">
        <v>46127</v>
      </c>
      <c r="C312" t="s">
        <v>844</v>
      </c>
      <c r="D312" t="s">
        <v>77</v>
      </c>
      <c r="E312" t="s">
        <v>78</v>
      </c>
      <c r="F312" t="s">
        <v>55</v>
      </c>
      <c r="G312" t="s">
        <v>43</v>
      </c>
      <c r="H312" t="s">
        <v>69</v>
      </c>
      <c r="I312">
        <v>10</v>
      </c>
      <c r="J312">
        <v>20</v>
      </c>
      <c r="K312">
        <v>9</v>
      </c>
      <c r="L312">
        <v>11</v>
      </c>
      <c r="M312">
        <v>0</v>
      </c>
      <c r="N312">
        <v>20</v>
      </c>
      <c r="O312">
        <v>0</v>
      </c>
      <c r="P312">
        <v>28</v>
      </c>
      <c r="Q312">
        <v>9.5299999999999994</v>
      </c>
      <c r="R312">
        <v>190.6</v>
      </c>
      <c r="S312">
        <v>23551</v>
      </c>
      <c r="T312">
        <v>21510</v>
      </c>
      <c r="U312">
        <v>378</v>
      </c>
      <c r="V312">
        <v>21132</v>
      </c>
      <c r="W312" s="3">
        <f t="shared" si="28"/>
        <v>110.87093389296957</v>
      </c>
      <c r="X312">
        <v>109.38855294136761</v>
      </c>
      <c r="Y312" s="3">
        <v>109.38855294136761</v>
      </c>
      <c r="Z312" s="4">
        <f t="shared" si="29"/>
        <v>1.0135515180678596</v>
      </c>
      <c r="AA312" s="5">
        <f t="shared" si="30"/>
        <v>215.29675058982966</v>
      </c>
      <c r="AB312" s="5">
        <f t="shared" si="31"/>
        <v>9.5333333333333332</v>
      </c>
      <c r="AC312" s="5">
        <f t="shared" si="32"/>
        <v>23</v>
      </c>
      <c r="AD312" s="5">
        <f t="shared" si="33"/>
        <v>3</v>
      </c>
      <c r="AE312" s="5" t="str">
        <f t="shared" si="34"/>
        <v>Shortage</v>
      </c>
    </row>
    <row r="313" spans="1:31" x14ac:dyDescent="0.25">
      <c r="A313" t="s">
        <v>845</v>
      </c>
      <c r="B313" s="2">
        <v>46127</v>
      </c>
      <c r="C313" t="s">
        <v>846</v>
      </c>
      <c r="D313" t="s">
        <v>352</v>
      </c>
      <c r="E313" t="s">
        <v>157</v>
      </c>
      <c r="F313" t="s">
        <v>55</v>
      </c>
      <c r="G313" t="s">
        <v>79</v>
      </c>
      <c r="H313" t="s">
        <v>88</v>
      </c>
      <c r="I313">
        <v>8</v>
      </c>
      <c r="J313">
        <v>17</v>
      </c>
      <c r="K313">
        <v>7</v>
      </c>
      <c r="L313">
        <v>10</v>
      </c>
      <c r="M313">
        <v>0</v>
      </c>
      <c r="N313">
        <v>17</v>
      </c>
      <c r="O313">
        <v>3</v>
      </c>
      <c r="P313">
        <v>57</v>
      </c>
      <c r="Q313">
        <v>7.05</v>
      </c>
      <c r="R313">
        <v>119.85</v>
      </c>
      <c r="S313">
        <v>13890</v>
      </c>
      <c r="T313">
        <v>11815</v>
      </c>
      <c r="U313">
        <v>380</v>
      </c>
      <c r="V313">
        <v>11435</v>
      </c>
      <c r="W313" s="3">
        <f t="shared" si="28"/>
        <v>95.410930329578648</v>
      </c>
      <c r="X313">
        <v>99.520305551967823</v>
      </c>
      <c r="Y313" s="3">
        <v>99.520305551967823</v>
      </c>
      <c r="Z313" s="4">
        <f t="shared" si="29"/>
        <v>0.9587081731753393</v>
      </c>
      <c r="AA313" s="5">
        <f t="shared" si="30"/>
        <v>139.56950717707429</v>
      </c>
      <c r="AB313" s="5">
        <f t="shared" si="31"/>
        <v>7.05</v>
      </c>
      <c r="AC313" s="5">
        <f t="shared" si="32"/>
        <v>20</v>
      </c>
      <c r="AD313" s="5">
        <f t="shared" si="33"/>
        <v>3</v>
      </c>
      <c r="AE313" s="5" t="str">
        <f t="shared" si="34"/>
        <v>Shortage</v>
      </c>
    </row>
    <row r="314" spans="1:31" x14ac:dyDescent="0.25">
      <c r="A314" t="s">
        <v>847</v>
      </c>
      <c r="B314" s="2">
        <v>46128</v>
      </c>
      <c r="C314" t="s">
        <v>848</v>
      </c>
      <c r="D314" t="s">
        <v>174</v>
      </c>
      <c r="E314" t="s">
        <v>175</v>
      </c>
      <c r="F314" t="s">
        <v>49</v>
      </c>
      <c r="G314" t="s">
        <v>43</v>
      </c>
      <c r="H314" t="s">
        <v>37</v>
      </c>
      <c r="I314">
        <v>8</v>
      </c>
      <c r="J314">
        <v>23</v>
      </c>
      <c r="K314">
        <v>8</v>
      </c>
      <c r="L314">
        <v>15</v>
      </c>
      <c r="M314">
        <v>0</v>
      </c>
      <c r="N314">
        <v>23</v>
      </c>
      <c r="O314">
        <v>3</v>
      </c>
      <c r="P314">
        <v>9</v>
      </c>
      <c r="Q314">
        <v>7.85</v>
      </c>
      <c r="R314">
        <v>180.55</v>
      </c>
      <c r="S314">
        <v>25296</v>
      </c>
      <c r="T314">
        <v>23000</v>
      </c>
      <c r="U314">
        <v>523</v>
      </c>
      <c r="V314">
        <v>22477</v>
      </c>
      <c r="W314" s="3">
        <f t="shared" si="28"/>
        <v>124.49183051786208</v>
      </c>
      <c r="X314">
        <v>124.78240035826239</v>
      </c>
      <c r="Y314" s="3">
        <v>124.78240035826239</v>
      </c>
      <c r="Z314" s="4">
        <f t="shared" si="29"/>
        <v>0.99767138763506669</v>
      </c>
      <c r="AA314" s="5">
        <f t="shared" si="30"/>
        <v>202.72089595465968</v>
      </c>
      <c r="AB314" s="5">
        <f t="shared" si="31"/>
        <v>7.85</v>
      </c>
      <c r="AC314" s="5">
        <f t="shared" si="32"/>
        <v>26</v>
      </c>
      <c r="AD314" s="5">
        <f t="shared" si="33"/>
        <v>3</v>
      </c>
      <c r="AE314" s="5" t="str">
        <f t="shared" si="34"/>
        <v>Shortage</v>
      </c>
    </row>
    <row r="315" spans="1:31" x14ac:dyDescent="0.25">
      <c r="A315" t="s">
        <v>849</v>
      </c>
      <c r="B315" s="2">
        <v>46128</v>
      </c>
      <c r="C315" t="s">
        <v>850</v>
      </c>
      <c r="D315" t="s">
        <v>685</v>
      </c>
      <c r="E315" t="s">
        <v>686</v>
      </c>
      <c r="F315" t="s">
        <v>68</v>
      </c>
      <c r="G315" t="s">
        <v>43</v>
      </c>
      <c r="H315" t="s">
        <v>44</v>
      </c>
      <c r="I315">
        <v>8</v>
      </c>
      <c r="J315">
        <v>24</v>
      </c>
      <c r="K315">
        <v>8</v>
      </c>
      <c r="L315">
        <v>16</v>
      </c>
      <c r="M315">
        <v>1</v>
      </c>
      <c r="N315">
        <v>23</v>
      </c>
      <c r="O315">
        <v>0</v>
      </c>
      <c r="P315">
        <v>8</v>
      </c>
      <c r="Q315">
        <v>7.87</v>
      </c>
      <c r="R315">
        <v>181.01</v>
      </c>
      <c r="S315">
        <v>22699</v>
      </c>
      <c r="T315">
        <v>24106</v>
      </c>
      <c r="U315">
        <v>718</v>
      </c>
      <c r="V315">
        <v>23388</v>
      </c>
      <c r="W315" s="3">
        <f t="shared" si="28"/>
        <v>129.20833103143474</v>
      </c>
      <c r="X315">
        <v>128.22014138735929</v>
      </c>
      <c r="Y315" s="3">
        <v>128.22014138735929</v>
      </c>
      <c r="Z315" s="4">
        <f t="shared" si="29"/>
        <v>1.0077069767150706</v>
      </c>
      <c r="AA315" s="5">
        <f t="shared" si="30"/>
        <v>177.03146911548956</v>
      </c>
      <c r="AB315" s="5">
        <f t="shared" si="31"/>
        <v>7.8666666666666663</v>
      </c>
      <c r="AC315" s="5">
        <f t="shared" si="32"/>
        <v>23</v>
      </c>
      <c r="AD315" s="5">
        <f t="shared" si="33"/>
        <v>0</v>
      </c>
      <c r="AE315" s="5" t="str">
        <f t="shared" si="34"/>
        <v>Balanced</v>
      </c>
    </row>
    <row r="316" spans="1:31" x14ac:dyDescent="0.25">
      <c r="A316" t="s">
        <v>851</v>
      </c>
      <c r="B316" s="2">
        <v>46129</v>
      </c>
      <c r="C316" t="s">
        <v>852</v>
      </c>
      <c r="D316" t="s">
        <v>667</v>
      </c>
      <c r="E316" t="s">
        <v>668</v>
      </c>
      <c r="F316" t="s">
        <v>35</v>
      </c>
      <c r="G316" t="s">
        <v>43</v>
      </c>
      <c r="H316" t="s">
        <v>88</v>
      </c>
      <c r="I316">
        <v>8</v>
      </c>
      <c r="J316">
        <v>23</v>
      </c>
      <c r="K316">
        <v>8</v>
      </c>
      <c r="L316">
        <v>15</v>
      </c>
      <c r="M316">
        <v>3</v>
      </c>
      <c r="N316">
        <v>20</v>
      </c>
      <c r="O316">
        <v>2</v>
      </c>
      <c r="P316">
        <v>44</v>
      </c>
      <c r="Q316">
        <v>7.27</v>
      </c>
      <c r="R316">
        <v>145.4</v>
      </c>
      <c r="S316">
        <v>20197</v>
      </c>
      <c r="T316">
        <v>16771</v>
      </c>
      <c r="U316">
        <v>335</v>
      </c>
      <c r="V316">
        <v>16436</v>
      </c>
      <c r="W316" s="3">
        <f t="shared" si="28"/>
        <v>113.03988995873452</v>
      </c>
      <c r="X316">
        <v>118.01656521145939</v>
      </c>
      <c r="Y316" s="3">
        <v>118.01656521145939</v>
      </c>
      <c r="Z316" s="4">
        <f t="shared" si="29"/>
        <v>0.95783070585211683</v>
      </c>
      <c r="AA316" s="5">
        <f t="shared" si="30"/>
        <v>171.13699219945502</v>
      </c>
      <c r="AB316" s="5">
        <f t="shared" si="31"/>
        <v>7.2666666666666666</v>
      </c>
      <c r="AC316" s="5">
        <f t="shared" si="32"/>
        <v>24</v>
      </c>
      <c r="AD316" s="5">
        <f t="shared" si="33"/>
        <v>4</v>
      </c>
      <c r="AE316" s="5" t="str">
        <f t="shared" si="34"/>
        <v>Shortage</v>
      </c>
    </row>
    <row r="317" spans="1:31" x14ac:dyDescent="0.25">
      <c r="A317" t="s">
        <v>853</v>
      </c>
      <c r="B317" s="2">
        <v>46130</v>
      </c>
      <c r="C317" t="s">
        <v>854</v>
      </c>
      <c r="D317" t="s">
        <v>352</v>
      </c>
      <c r="E317" t="s">
        <v>157</v>
      </c>
      <c r="F317" t="s">
        <v>49</v>
      </c>
      <c r="G317" t="s">
        <v>36</v>
      </c>
      <c r="H317" t="s">
        <v>37</v>
      </c>
      <c r="I317">
        <v>8</v>
      </c>
      <c r="J317">
        <v>19</v>
      </c>
      <c r="K317">
        <v>7</v>
      </c>
      <c r="L317">
        <v>12</v>
      </c>
      <c r="M317">
        <v>0</v>
      </c>
      <c r="N317">
        <v>19</v>
      </c>
      <c r="O317">
        <v>3</v>
      </c>
      <c r="P317">
        <v>53</v>
      </c>
      <c r="Q317">
        <v>7.12</v>
      </c>
      <c r="R317">
        <v>135.28</v>
      </c>
      <c r="S317">
        <v>19360</v>
      </c>
      <c r="T317">
        <v>16957</v>
      </c>
      <c r="U317">
        <v>409</v>
      </c>
      <c r="V317">
        <v>16548</v>
      </c>
      <c r="W317" s="3">
        <f t="shared" si="28"/>
        <v>122.32406859846245</v>
      </c>
      <c r="X317">
        <v>118.4084783141387</v>
      </c>
      <c r="Y317" s="3">
        <v>118.4084783141387</v>
      </c>
      <c r="Z317" s="4">
        <f t="shared" si="29"/>
        <v>1.0330684959394179</v>
      </c>
      <c r="AA317" s="5">
        <f t="shared" si="30"/>
        <v>163.50180557711209</v>
      </c>
      <c r="AB317" s="5">
        <f t="shared" si="31"/>
        <v>7.1166666666666671</v>
      </c>
      <c r="AC317" s="5">
        <f t="shared" si="32"/>
        <v>23</v>
      </c>
      <c r="AD317" s="5">
        <f t="shared" si="33"/>
        <v>4</v>
      </c>
      <c r="AE317" s="5" t="str">
        <f t="shared" si="34"/>
        <v>Shortage</v>
      </c>
    </row>
    <row r="318" spans="1:31" x14ac:dyDescent="0.25">
      <c r="A318" t="s">
        <v>855</v>
      </c>
      <c r="B318" s="2">
        <v>46131</v>
      </c>
      <c r="C318" t="s">
        <v>856</v>
      </c>
      <c r="D318" t="s">
        <v>342</v>
      </c>
      <c r="E318" t="s">
        <v>343</v>
      </c>
      <c r="F318" t="s">
        <v>42</v>
      </c>
      <c r="G318" t="s">
        <v>36</v>
      </c>
      <c r="H318" t="s">
        <v>88</v>
      </c>
      <c r="I318">
        <v>9</v>
      </c>
      <c r="J318">
        <v>20</v>
      </c>
      <c r="K318">
        <v>9</v>
      </c>
      <c r="L318">
        <v>11</v>
      </c>
      <c r="M318">
        <v>0</v>
      </c>
      <c r="N318">
        <v>20</v>
      </c>
      <c r="O318">
        <v>0</v>
      </c>
      <c r="P318">
        <v>25</v>
      </c>
      <c r="Q318">
        <v>8.58</v>
      </c>
      <c r="R318">
        <v>171.6</v>
      </c>
      <c r="S318">
        <v>21826</v>
      </c>
      <c r="T318">
        <v>19696</v>
      </c>
      <c r="U318">
        <v>497</v>
      </c>
      <c r="V318">
        <v>19199</v>
      </c>
      <c r="W318" s="3">
        <f t="shared" si="28"/>
        <v>111.88228438228438</v>
      </c>
      <c r="X318">
        <v>112.98347693798689</v>
      </c>
      <c r="Y318" s="3">
        <v>112.98347693798689</v>
      </c>
      <c r="Z318" s="4">
        <f t="shared" si="29"/>
        <v>0.99025350798588962</v>
      </c>
      <c r="AA318" s="5">
        <f t="shared" si="30"/>
        <v>193.17868941119249</v>
      </c>
      <c r="AB318" s="5">
        <f t="shared" si="31"/>
        <v>8.5833333333333339</v>
      </c>
      <c r="AC318" s="5">
        <f t="shared" si="32"/>
        <v>23</v>
      </c>
      <c r="AD318" s="5">
        <f t="shared" si="33"/>
        <v>3</v>
      </c>
      <c r="AE318" s="5" t="str">
        <f t="shared" si="34"/>
        <v>Shortage</v>
      </c>
    </row>
    <row r="319" spans="1:31" x14ac:dyDescent="0.25">
      <c r="A319" t="s">
        <v>857</v>
      </c>
      <c r="B319" s="2">
        <v>46132</v>
      </c>
      <c r="C319" t="s">
        <v>858</v>
      </c>
      <c r="D319" t="s">
        <v>160</v>
      </c>
      <c r="E319" t="s">
        <v>161</v>
      </c>
      <c r="F319" t="s">
        <v>49</v>
      </c>
      <c r="G319" t="s">
        <v>36</v>
      </c>
      <c r="H319" t="s">
        <v>88</v>
      </c>
      <c r="I319">
        <v>9</v>
      </c>
      <c r="J319">
        <v>21</v>
      </c>
      <c r="K319">
        <v>9</v>
      </c>
      <c r="L319">
        <v>12</v>
      </c>
      <c r="M319">
        <v>0</v>
      </c>
      <c r="N319">
        <v>21</v>
      </c>
      <c r="O319">
        <v>0</v>
      </c>
      <c r="P319">
        <v>10</v>
      </c>
      <c r="Q319">
        <v>8.83</v>
      </c>
      <c r="R319">
        <v>185.43</v>
      </c>
      <c r="S319">
        <v>24272</v>
      </c>
      <c r="T319">
        <v>22511</v>
      </c>
      <c r="U319">
        <v>377</v>
      </c>
      <c r="V319">
        <v>22134</v>
      </c>
      <c r="W319" s="3">
        <f t="shared" si="28"/>
        <v>119.36579841449603</v>
      </c>
      <c r="X319">
        <v>118.4084783141387</v>
      </c>
      <c r="Y319" s="3">
        <v>118.4084783141387</v>
      </c>
      <c r="Z319" s="4">
        <f t="shared" si="29"/>
        <v>1.0080848948824217</v>
      </c>
      <c r="AA319" s="5">
        <f t="shared" si="30"/>
        <v>204.98532153758597</v>
      </c>
      <c r="AB319" s="5">
        <f t="shared" si="31"/>
        <v>8.8333333333333339</v>
      </c>
      <c r="AC319" s="5">
        <f t="shared" si="32"/>
        <v>24</v>
      </c>
      <c r="AD319" s="5">
        <f t="shared" si="33"/>
        <v>3</v>
      </c>
      <c r="AE319" s="5" t="str">
        <f t="shared" si="34"/>
        <v>Shortage</v>
      </c>
    </row>
    <row r="320" spans="1:31" x14ac:dyDescent="0.25">
      <c r="A320" t="s">
        <v>859</v>
      </c>
      <c r="B320" s="2">
        <v>46132</v>
      </c>
      <c r="C320" t="s">
        <v>860</v>
      </c>
      <c r="D320" t="s">
        <v>452</v>
      </c>
      <c r="E320" t="s">
        <v>453</v>
      </c>
      <c r="F320" t="s">
        <v>42</v>
      </c>
      <c r="G320" t="s">
        <v>43</v>
      </c>
      <c r="H320" t="s">
        <v>74</v>
      </c>
      <c r="I320">
        <v>9</v>
      </c>
      <c r="J320">
        <v>19</v>
      </c>
      <c r="K320">
        <v>6</v>
      </c>
      <c r="L320">
        <v>13</v>
      </c>
      <c r="M320">
        <v>0</v>
      </c>
      <c r="N320">
        <v>19</v>
      </c>
      <c r="O320">
        <v>0</v>
      </c>
      <c r="P320">
        <v>22</v>
      </c>
      <c r="Q320">
        <v>8.6300000000000008</v>
      </c>
      <c r="R320">
        <v>163.97</v>
      </c>
      <c r="S320">
        <v>21361</v>
      </c>
      <c r="T320">
        <v>18191</v>
      </c>
      <c r="U320">
        <v>396</v>
      </c>
      <c r="V320">
        <v>17795</v>
      </c>
      <c r="W320" s="3">
        <f t="shared" si="28"/>
        <v>108.52594986887846</v>
      </c>
      <c r="X320">
        <v>115.1855592022217</v>
      </c>
      <c r="Y320" s="3">
        <v>115.1855592022217</v>
      </c>
      <c r="Z320" s="4">
        <f t="shared" si="29"/>
        <v>0.942183643683567</v>
      </c>
      <c r="AA320" s="5">
        <f t="shared" si="30"/>
        <v>185.44859397260268</v>
      </c>
      <c r="AB320" s="5">
        <f t="shared" si="31"/>
        <v>8.6333333333333329</v>
      </c>
      <c r="AC320" s="5">
        <f t="shared" si="32"/>
        <v>22</v>
      </c>
      <c r="AD320" s="5">
        <f t="shared" si="33"/>
        <v>3</v>
      </c>
      <c r="AE320" s="5" t="str">
        <f t="shared" si="34"/>
        <v>Shortage</v>
      </c>
    </row>
    <row r="321" spans="1:31" x14ac:dyDescent="0.25">
      <c r="A321" t="s">
        <v>861</v>
      </c>
      <c r="B321" s="2">
        <v>46133</v>
      </c>
      <c r="C321" t="s">
        <v>862</v>
      </c>
      <c r="D321" t="s">
        <v>170</v>
      </c>
      <c r="E321" t="s">
        <v>171</v>
      </c>
      <c r="F321" t="s">
        <v>42</v>
      </c>
      <c r="G321" t="s">
        <v>43</v>
      </c>
      <c r="H321" t="s">
        <v>44</v>
      </c>
      <c r="I321">
        <v>9</v>
      </c>
      <c r="J321">
        <v>22</v>
      </c>
      <c r="K321">
        <v>10</v>
      </c>
      <c r="L321">
        <v>12</v>
      </c>
      <c r="M321">
        <v>1</v>
      </c>
      <c r="N321">
        <v>21</v>
      </c>
      <c r="O321">
        <v>3</v>
      </c>
      <c r="P321">
        <v>29</v>
      </c>
      <c r="Q321">
        <v>8.52</v>
      </c>
      <c r="R321">
        <v>178.92</v>
      </c>
      <c r="S321">
        <v>21999</v>
      </c>
      <c r="T321">
        <v>17016</v>
      </c>
      <c r="U321">
        <v>269</v>
      </c>
      <c r="V321">
        <v>16747</v>
      </c>
      <c r="W321" s="3">
        <f t="shared" si="28"/>
        <v>93.600491839928466</v>
      </c>
      <c r="X321">
        <v>115.1855592022217</v>
      </c>
      <c r="Y321" s="3">
        <v>115.1855592022217</v>
      </c>
      <c r="Z321" s="4">
        <f t="shared" si="29"/>
        <v>0.8126061329927815</v>
      </c>
      <c r="AA321" s="5">
        <f t="shared" si="30"/>
        <v>190.98748273972598</v>
      </c>
      <c r="AB321" s="5">
        <f t="shared" si="31"/>
        <v>8.5166666666666675</v>
      </c>
      <c r="AC321" s="5">
        <f t="shared" si="32"/>
        <v>23</v>
      </c>
      <c r="AD321" s="5">
        <f t="shared" si="33"/>
        <v>2</v>
      </c>
      <c r="AE321" s="5" t="str">
        <f t="shared" si="34"/>
        <v>Shortage</v>
      </c>
    </row>
    <row r="322" spans="1:31" x14ac:dyDescent="0.25">
      <c r="A322" t="s">
        <v>863</v>
      </c>
      <c r="B322" s="2">
        <v>46133</v>
      </c>
      <c r="C322" t="s">
        <v>864</v>
      </c>
      <c r="D322" t="s">
        <v>166</v>
      </c>
      <c r="E322" t="s">
        <v>167</v>
      </c>
      <c r="F322" t="s">
        <v>68</v>
      </c>
      <c r="G322" t="s">
        <v>79</v>
      </c>
      <c r="H322" t="s">
        <v>88</v>
      </c>
      <c r="I322">
        <v>8</v>
      </c>
      <c r="J322">
        <v>26</v>
      </c>
      <c r="K322">
        <v>9</v>
      </c>
      <c r="L322">
        <v>17</v>
      </c>
      <c r="M322">
        <v>0</v>
      </c>
      <c r="N322">
        <v>26</v>
      </c>
      <c r="O322">
        <v>3</v>
      </c>
      <c r="P322">
        <v>18</v>
      </c>
      <c r="Q322">
        <v>7.7</v>
      </c>
      <c r="R322">
        <v>200.2</v>
      </c>
      <c r="S322">
        <v>24277</v>
      </c>
      <c r="T322">
        <v>21109</v>
      </c>
      <c r="U322">
        <v>445</v>
      </c>
      <c r="V322">
        <v>20664</v>
      </c>
      <c r="W322" s="3">
        <f t="shared" si="28"/>
        <v>103.21678321678323</v>
      </c>
      <c r="X322">
        <v>114.6579540175248</v>
      </c>
      <c r="Y322" s="3">
        <v>114.6579540175248</v>
      </c>
      <c r="Z322" s="4">
        <f t="shared" si="29"/>
        <v>0.90021476574583859</v>
      </c>
      <c r="AA322" s="5">
        <f t="shared" si="30"/>
        <v>211.73411132287779</v>
      </c>
      <c r="AB322" s="5">
        <f t="shared" si="31"/>
        <v>7.7</v>
      </c>
      <c r="AC322" s="5">
        <f t="shared" si="32"/>
        <v>28</v>
      </c>
      <c r="AD322" s="5">
        <f t="shared" si="33"/>
        <v>2</v>
      </c>
      <c r="AE322" s="5" t="str">
        <f t="shared" si="34"/>
        <v>Shortage</v>
      </c>
    </row>
    <row r="323" spans="1:31" x14ac:dyDescent="0.25">
      <c r="A323" t="s">
        <v>865</v>
      </c>
      <c r="B323" s="2">
        <v>46134</v>
      </c>
      <c r="C323" t="s">
        <v>866</v>
      </c>
      <c r="D323" t="s">
        <v>82</v>
      </c>
      <c r="E323" t="s">
        <v>83</v>
      </c>
      <c r="F323" t="s">
        <v>42</v>
      </c>
      <c r="G323" t="s">
        <v>36</v>
      </c>
      <c r="H323" t="s">
        <v>88</v>
      </c>
      <c r="I323">
        <v>8</v>
      </c>
      <c r="J323">
        <v>15</v>
      </c>
      <c r="K323">
        <v>7</v>
      </c>
      <c r="L323">
        <v>8</v>
      </c>
      <c r="M323">
        <v>0</v>
      </c>
      <c r="N323">
        <v>15</v>
      </c>
      <c r="O323">
        <v>3</v>
      </c>
      <c r="P323">
        <v>32</v>
      </c>
      <c r="Q323">
        <v>7.47</v>
      </c>
      <c r="R323">
        <v>112.05</v>
      </c>
      <c r="S323">
        <v>11482</v>
      </c>
      <c r="T323">
        <v>9976</v>
      </c>
      <c r="U323">
        <v>272</v>
      </c>
      <c r="V323">
        <v>9704</v>
      </c>
      <c r="W323" s="3">
        <f t="shared" ref="W323:W386" si="35">IFERROR(V323/R323,0)</f>
        <v>86.604194556001787</v>
      </c>
      <c r="X323">
        <v>112.98347693798689</v>
      </c>
      <c r="Y323" s="3">
        <v>112.98347693798689</v>
      </c>
      <c r="Z323" s="4">
        <f t="shared" ref="Z323:Z386" si="36">IFERROR(W323/Y323,0)</f>
        <v>0.76652088343445235</v>
      </c>
      <c r="AA323" s="5">
        <f t="shared" ref="AA323:AA386" si="37">IFERROR(S323/Y323,0)</f>
        <v>101.6254793282925</v>
      </c>
      <c r="AB323" s="5">
        <f t="shared" ref="AB323:AB386" si="38">MAX(0.1,I323-(P323/60))</f>
        <v>7.4666666666666668</v>
      </c>
      <c r="AC323" s="5">
        <f t="shared" ref="AC323:AC386" si="39">IFERROR(CEILING(AA323/AB323,1),0)</f>
        <v>14</v>
      </c>
      <c r="AD323" s="5">
        <f t="shared" ref="AD323:AD386" si="40">AC323-N323</f>
        <v>-1</v>
      </c>
      <c r="AE323" s="5" t="str">
        <f t="shared" ref="AE323:AE386" si="41">IF(AD323&gt;0,"Shortage",IF(AD323&lt;0,"Surplus","Balanced"))</f>
        <v>Surplus</v>
      </c>
    </row>
    <row r="324" spans="1:31" x14ac:dyDescent="0.25">
      <c r="A324" t="s">
        <v>867</v>
      </c>
      <c r="B324" s="2">
        <v>46134</v>
      </c>
      <c r="C324" t="s">
        <v>868</v>
      </c>
      <c r="D324" t="s">
        <v>869</v>
      </c>
      <c r="E324" t="s">
        <v>870</v>
      </c>
      <c r="F324" t="s">
        <v>55</v>
      </c>
      <c r="G324" t="s">
        <v>36</v>
      </c>
      <c r="H324" t="s">
        <v>88</v>
      </c>
      <c r="I324">
        <v>8</v>
      </c>
      <c r="J324">
        <v>14</v>
      </c>
      <c r="K324">
        <v>5</v>
      </c>
      <c r="L324">
        <v>9</v>
      </c>
      <c r="M324">
        <v>2</v>
      </c>
      <c r="N324">
        <v>12</v>
      </c>
      <c r="O324">
        <v>2</v>
      </c>
      <c r="P324">
        <v>37</v>
      </c>
      <c r="Q324">
        <v>7.38</v>
      </c>
      <c r="R324">
        <v>88.56</v>
      </c>
      <c r="S324">
        <v>11496</v>
      </c>
      <c r="T324">
        <v>9945</v>
      </c>
      <c r="U324">
        <v>297</v>
      </c>
      <c r="V324">
        <v>9648</v>
      </c>
      <c r="W324" s="3">
        <f t="shared" si="35"/>
        <v>108.9430894308943</v>
      </c>
      <c r="X324">
        <v>108.32817332835501</v>
      </c>
      <c r="Y324" s="3">
        <v>108.32817332835501</v>
      </c>
      <c r="Z324" s="4">
        <f t="shared" si="36"/>
        <v>1.005676419011289</v>
      </c>
      <c r="AA324" s="5">
        <f t="shared" si="37"/>
        <v>106.12197775323246</v>
      </c>
      <c r="AB324" s="5">
        <f t="shared" si="38"/>
        <v>7.3833333333333329</v>
      </c>
      <c r="AC324" s="5">
        <f t="shared" si="39"/>
        <v>15</v>
      </c>
      <c r="AD324" s="5">
        <f t="shared" si="40"/>
        <v>3</v>
      </c>
      <c r="AE324" s="5" t="str">
        <f t="shared" si="41"/>
        <v>Shortage</v>
      </c>
    </row>
    <row r="325" spans="1:31" x14ac:dyDescent="0.25">
      <c r="A325" t="s">
        <v>871</v>
      </c>
      <c r="B325" s="2">
        <v>46134</v>
      </c>
      <c r="C325" t="s">
        <v>872</v>
      </c>
      <c r="D325" t="s">
        <v>204</v>
      </c>
      <c r="E325" t="s">
        <v>205</v>
      </c>
      <c r="F325" t="s">
        <v>42</v>
      </c>
      <c r="G325" t="s">
        <v>43</v>
      </c>
      <c r="H325" t="s">
        <v>44</v>
      </c>
      <c r="I325">
        <v>9</v>
      </c>
      <c r="J325">
        <v>19</v>
      </c>
      <c r="K325">
        <v>6</v>
      </c>
      <c r="L325">
        <v>13</v>
      </c>
      <c r="M325">
        <v>0</v>
      </c>
      <c r="N325">
        <v>19</v>
      </c>
      <c r="O325">
        <v>2</v>
      </c>
      <c r="P325">
        <v>36</v>
      </c>
      <c r="Q325">
        <v>8.4</v>
      </c>
      <c r="R325">
        <v>159.6</v>
      </c>
      <c r="S325">
        <v>20651</v>
      </c>
      <c r="T325">
        <v>21255</v>
      </c>
      <c r="U325">
        <v>434</v>
      </c>
      <c r="V325">
        <v>20821</v>
      </c>
      <c r="W325" s="3">
        <f t="shared" si="35"/>
        <v>130.45739348370927</v>
      </c>
      <c r="X325">
        <v>115.1855592022217</v>
      </c>
      <c r="Y325" s="3">
        <v>115.1855592022217</v>
      </c>
      <c r="Z325" s="4">
        <f t="shared" si="36"/>
        <v>1.1325846259484322</v>
      </c>
      <c r="AA325" s="5">
        <f t="shared" si="37"/>
        <v>179.284626849315</v>
      </c>
      <c r="AB325" s="5">
        <f t="shared" si="38"/>
        <v>8.4</v>
      </c>
      <c r="AC325" s="5">
        <f t="shared" si="39"/>
        <v>22</v>
      </c>
      <c r="AD325" s="5">
        <f t="shared" si="40"/>
        <v>3</v>
      </c>
      <c r="AE325" s="5" t="str">
        <f t="shared" si="41"/>
        <v>Shortage</v>
      </c>
    </row>
    <row r="326" spans="1:31" x14ac:dyDescent="0.25">
      <c r="A326" t="s">
        <v>873</v>
      </c>
      <c r="B326" s="2">
        <v>46135</v>
      </c>
      <c r="C326" t="s">
        <v>874</v>
      </c>
      <c r="D326" t="s">
        <v>186</v>
      </c>
      <c r="E326" t="s">
        <v>187</v>
      </c>
      <c r="F326" t="s">
        <v>35</v>
      </c>
      <c r="G326" t="s">
        <v>36</v>
      </c>
      <c r="H326" t="s">
        <v>37</v>
      </c>
      <c r="I326">
        <v>8</v>
      </c>
      <c r="J326">
        <v>22</v>
      </c>
      <c r="K326">
        <v>9</v>
      </c>
      <c r="L326">
        <v>13</v>
      </c>
      <c r="M326">
        <v>2</v>
      </c>
      <c r="N326">
        <v>20</v>
      </c>
      <c r="O326">
        <v>0</v>
      </c>
      <c r="P326">
        <v>6</v>
      </c>
      <c r="Q326">
        <v>7.9</v>
      </c>
      <c r="R326">
        <v>158</v>
      </c>
      <c r="S326">
        <v>16198</v>
      </c>
      <c r="T326">
        <v>13401</v>
      </c>
      <c r="U326">
        <v>431</v>
      </c>
      <c r="V326">
        <v>12970</v>
      </c>
      <c r="W326" s="3">
        <f t="shared" si="35"/>
        <v>82.088607594936704</v>
      </c>
      <c r="X326">
        <v>114.1563708384419</v>
      </c>
      <c r="Y326" s="3">
        <v>114.1563708384419</v>
      </c>
      <c r="Z326" s="4">
        <f t="shared" si="36"/>
        <v>0.71908914931354451</v>
      </c>
      <c r="AA326" s="5">
        <f t="shared" si="37"/>
        <v>141.89308823529419</v>
      </c>
      <c r="AB326" s="5">
        <f t="shared" si="38"/>
        <v>7.9</v>
      </c>
      <c r="AC326" s="5">
        <f t="shared" si="39"/>
        <v>18</v>
      </c>
      <c r="AD326" s="5">
        <f t="shared" si="40"/>
        <v>-2</v>
      </c>
      <c r="AE326" s="5" t="str">
        <f t="shared" si="41"/>
        <v>Surplus</v>
      </c>
    </row>
    <row r="327" spans="1:31" x14ac:dyDescent="0.25">
      <c r="A327" t="s">
        <v>875</v>
      </c>
      <c r="B327" s="2">
        <v>46135</v>
      </c>
      <c r="C327" t="s">
        <v>876</v>
      </c>
      <c r="D327" t="s">
        <v>554</v>
      </c>
      <c r="E327" t="s">
        <v>555</v>
      </c>
      <c r="F327" t="s">
        <v>68</v>
      </c>
      <c r="G327" t="s">
        <v>79</v>
      </c>
      <c r="H327" t="s">
        <v>37</v>
      </c>
      <c r="I327">
        <v>10</v>
      </c>
      <c r="J327">
        <v>25</v>
      </c>
      <c r="K327">
        <v>12</v>
      </c>
      <c r="L327">
        <v>13</v>
      </c>
      <c r="M327">
        <v>2</v>
      </c>
      <c r="N327">
        <v>23</v>
      </c>
      <c r="O327">
        <v>0</v>
      </c>
      <c r="P327">
        <v>38</v>
      </c>
      <c r="Q327">
        <v>9.3699999999999992</v>
      </c>
      <c r="R327">
        <v>215.51</v>
      </c>
      <c r="S327">
        <v>27369</v>
      </c>
      <c r="T327">
        <v>22201</v>
      </c>
      <c r="U327">
        <v>189</v>
      </c>
      <c r="V327">
        <v>22012</v>
      </c>
      <c r="W327" s="3">
        <f t="shared" si="35"/>
        <v>102.13911187415897</v>
      </c>
      <c r="X327">
        <v>114.6579540175248</v>
      </c>
      <c r="Y327" s="3">
        <v>114.6579540175248</v>
      </c>
      <c r="Z327" s="4">
        <f t="shared" si="36"/>
        <v>0.89081575499374077</v>
      </c>
      <c r="AA327" s="5">
        <f t="shared" si="37"/>
        <v>238.70127663203206</v>
      </c>
      <c r="AB327" s="5">
        <f t="shared" si="38"/>
        <v>9.3666666666666671</v>
      </c>
      <c r="AC327" s="5">
        <f t="shared" si="39"/>
        <v>26</v>
      </c>
      <c r="AD327" s="5">
        <f t="shared" si="40"/>
        <v>3</v>
      </c>
      <c r="AE327" s="5" t="str">
        <f t="shared" si="41"/>
        <v>Shortage</v>
      </c>
    </row>
    <row r="328" spans="1:31" x14ac:dyDescent="0.25">
      <c r="A328" t="s">
        <v>877</v>
      </c>
      <c r="B328" s="2">
        <v>46136</v>
      </c>
      <c r="C328" t="s">
        <v>878</v>
      </c>
      <c r="D328" t="s">
        <v>342</v>
      </c>
      <c r="E328" t="s">
        <v>343</v>
      </c>
      <c r="F328" t="s">
        <v>49</v>
      </c>
      <c r="G328" t="s">
        <v>36</v>
      </c>
      <c r="H328" t="s">
        <v>69</v>
      </c>
      <c r="I328">
        <v>8</v>
      </c>
      <c r="J328">
        <v>25</v>
      </c>
      <c r="K328">
        <v>12</v>
      </c>
      <c r="L328">
        <v>13</v>
      </c>
      <c r="M328">
        <v>0</v>
      </c>
      <c r="N328">
        <v>25</v>
      </c>
      <c r="O328">
        <v>0</v>
      </c>
      <c r="P328">
        <v>34</v>
      </c>
      <c r="Q328">
        <v>7.43</v>
      </c>
      <c r="R328">
        <v>185.75</v>
      </c>
      <c r="S328">
        <v>23789</v>
      </c>
      <c r="T328">
        <v>23687</v>
      </c>
      <c r="U328">
        <v>341</v>
      </c>
      <c r="V328">
        <v>23346</v>
      </c>
      <c r="W328" s="3">
        <f t="shared" si="35"/>
        <v>125.6850605652759</v>
      </c>
      <c r="X328">
        <v>118.4084783141387</v>
      </c>
      <c r="Y328" s="3">
        <v>118.4084783141387</v>
      </c>
      <c r="Z328" s="4">
        <f t="shared" si="36"/>
        <v>1.0614532198600877</v>
      </c>
      <c r="AA328" s="5">
        <f t="shared" si="37"/>
        <v>200.90622173935535</v>
      </c>
      <c r="AB328" s="5">
        <f t="shared" si="38"/>
        <v>7.4333333333333336</v>
      </c>
      <c r="AC328" s="5">
        <f t="shared" si="39"/>
        <v>28</v>
      </c>
      <c r="AD328" s="5">
        <f t="shared" si="40"/>
        <v>3</v>
      </c>
      <c r="AE328" s="5" t="str">
        <f t="shared" si="41"/>
        <v>Shortage</v>
      </c>
    </row>
    <row r="329" spans="1:31" x14ac:dyDescent="0.25">
      <c r="A329" t="s">
        <v>879</v>
      </c>
      <c r="B329" s="2">
        <v>46136</v>
      </c>
      <c r="C329" t="s">
        <v>880</v>
      </c>
      <c r="D329" t="s">
        <v>33</v>
      </c>
      <c r="E329" t="s">
        <v>34</v>
      </c>
      <c r="F329" t="s">
        <v>35</v>
      </c>
      <c r="G329" t="s">
        <v>36</v>
      </c>
      <c r="H329" t="s">
        <v>74</v>
      </c>
      <c r="I329">
        <v>8</v>
      </c>
      <c r="J329">
        <v>23</v>
      </c>
      <c r="K329">
        <v>10</v>
      </c>
      <c r="L329">
        <v>13</v>
      </c>
      <c r="M329">
        <v>2</v>
      </c>
      <c r="N329">
        <v>21</v>
      </c>
      <c r="O329">
        <v>0</v>
      </c>
      <c r="P329">
        <v>60</v>
      </c>
      <c r="Q329">
        <v>7</v>
      </c>
      <c r="R329">
        <v>147</v>
      </c>
      <c r="S329">
        <v>22213</v>
      </c>
      <c r="T329">
        <v>16286</v>
      </c>
      <c r="U329">
        <v>150</v>
      </c>
      <c r="V329">
        <v>16136</v>
      </c>
      <c r="W329" s="3">
        <f t="shared" si="35"/>
        <v>109.76870748299319</v>
      </c>
      <c r="X329">
        <v>114.1563708384419</v>
      </c>
      <c r="Y329" s="3">
        <v>114.1563708384419</v>
      </c>
      <c r="Z329" s="4">
        <f t="shared" si="36"/>
        <v>0.96156444600312074</v>
      </c>
      <c r="AA329" s="5">
        <f t="shared" si="37"/>
        <v>194.58397141440855</v>
      </c>
      <c r="AB329" s="5">
        <f t="shared" si="38"/>
        <v>7</v>
      </c>
      <c r="AC329" s="5">
        <f t="shared" si="39"/>
        <v>28</v>
      </c>
      <c r="AD329" s="5">
        <f t="shared" si="40"/>
        <v>7</v>
      </c>
      <c r="AE329" s="5" t="str">
        <f t="shared" si="41"/>
        <v>Shortage</v>
      </c>
    </row>
    <row r="330" spans="1:31" x14ac:dyDescent="0.25">
      <c r="A330" t="s">
        <v>881</v>
      </c>
      <c r="B330" s="2">
        <v>46136</v>
      </c>
      <c r="C330" t="s">
        <v>882</v>
      </c>
      <c r="D330" t="s">
        <v>324</v>
      </c>
      <c r="E330" t="s">
        <v>325</v>
      </c>
      <c r="F330" t="s">
        <v>55</v>
      </c>
      <c r="G330" t="s">
        <v>43</v>
      </c>
      <c r="H330" t="s">
        <v>37</v>
      </c>
      <c r="I330">
        <v>9</v>
      </c>
      <c r="J330">
        <v>17</v>
      </c>
      <c r="K330">
        <v>6</v>
      </c>
      <c r="L330">
        <v>11</v>
      </c>
      <c r="M330">
        <v>0</v>
      </c>
      <c r="N330">
        <v>17</v>
      </c>
      <c r="O330">
        <v>1</v>
      </c>
      <c r="P330">
        <v>28</v>
      </c>
      <c r="Q330">
        <v>8.5299999999999994</v>
      </c>
      <c r="R330">
        <v>145.01</v>
      </c>
      <c r="S330">
        <v>12794</v>
      </c>
      <c r="T330">
        <v>11203</v>
      </c>
      <c r="U330">
        <v>203</v>
      </c>
      <c r="V330">
        <v>11000</v>
      </c>
      <c r="W330" s="3">
        <f t="shared" si="35"/>
        <v>75.856837459485561</v>
      </c>
      <c r="X330">
        <v>109.38855294136761</v>
      </c>
      <c r="Y330" s="3">
        <v>109.38855294136761</v>
      </c>
      <c r="Z330" s="4">
        <f t="shared" si="36"/>
        <v>0.693462299479772</v>
      </c>
      <c r="AA330" s="5">
        <f t="shared" si="37"/>
        <v>116.95922156368225</v>
      </c>
      <c r="AB330" s="5">
        <f t="shared" si="38"/>
        <v>8.5333333333333332</v>
      </c>
      <c r="AC330" s="5">
        <f t="shared" si="39"/>
        <v>14</v>
      </c>
      <c r="AD330" s="5">
        <f t="shared" si="40"/>
        <v>-3</v>
      </c>
      <c r="AE330" s="5" t="str">
        <f t="shared" si="41"/>
        <v>Surplus</v>
      </c>
    </row>
    <row r="331" spans="1:31" x14ac:dyDescent="0.25">
      <c r="A331" t="s">
        <v>883</v>
      </c>
      <c r="B331" s="2">
        <v>46136</v>
      </c>
      <c r="C331" t="s">
        <v>884</v>
      </c>
      <c r="D331" t="s">
        <v>320</v>
      </c>
      <c r="E331" t="s">
        <v>321</v>
      </c>
      <c r="F331" t="s">
        <v>35</v>
      </c>
      <c r="G331" t="s">
        <v>43</v>
      </c>
      <c r="H331" t="s">
        <v>69</v>
      </c>
      <c r="I331">
        <v>8</v>
      </c>
      <c r="J331">
        <v>19</v>
      </c>
      <c r="K331">
        <v>6</v>
      </c>
      <c r="L331">
        <v>13</v>
      </c>
      <c r="M331">
        <v>0</v>
      </c>
      <c r="N331">
        <v>19</v>
      </c>
      <c r="O331">
        <v>0</v>
      </c>
      <c r="P331">
        <v>9</v>
      </c>
      <c r="Q331">
        <v>7.85</v>
      </c>
      <c r="R331">
        <v>149.15</v>
      </c>
      <c r="S331">
        <v>18919</v>
      </c>
      <c r="T331">
        <v>16430</v>
      </c>
      <c r="U331">
        <v>431</v>
      </c>
      <c r="V331">
        <v>15999</v>
      </c>
      <c r="W331" s="3">
        <f t="shared" si="35"/>
        <v>107.2678511565538</v>
      </c>
      <c r="X331">
        <v>118.01656521145939</v>
      </c>
      <c r="Y331" s="3">
        <v>118.01656521145939</v>
      </c>
      <c r="Z331" s="4">
        <f t="shared" si="36"/>
        <v>0.90892198874245922</v>
      </c>
      <c r="AA331" s="5">
        <f t="shared" si="37"/>
        <v>160.30800393234091</v>
      </c>
      <c r="AB331" s="5">
        <f t="shared" si="38"/>
        <v>7.85</v>
      </c>
      <c r="AC331" s="5">
        <f t="shared" si="39"/>
        <v>21</v>
      </c>
      <c r="AD331" s="5">
        <f t="shared" si="40"/>
        <v>2</v>
      </c>
      <c r="AE331" s="5" t="str">
        <f t="shared" si="41"/>
        <v>Shortage</v>
      </c>
    </row>
    <row r="332" spans="1:31" x14ac:dyDescent="0.25">
      <c r="A332" t="s">
        <v>885</v>
      </c>
      <c r="B332" s="2">
        <v>46137</v>
      </c>
      <c r="C332" t="s">
        <v>886</v>
      </c>
      <c r="D332" t="s">
        <v>33</v>
      </c>
      <c r="E332" t="s">
        <v>34</v>
      </c>
      <c r="F332" t="s">
        <v>42</v>
      </c>
      <c r="G332" t="s">
        <v>79</v>
      </c>
      <c r="H332" t="s">
        <v>37</v>
      </c>
      <c r="I332">
        <v>10</v>
      </c>
      <c r="J332">
        <v>16</v>
      </c>
      <c r="K332">
        <v>6</v>
      </c>
      <c r="L332">
        <v>10</v>
      </c>
      <c r="M332">
        <v>0</v>
      </c>
      <c r="N332">
        <v>16</v>
      </c>
      <c r="O332">
        <v>0</v>
      </c>
      <c r="P332">
        <v>25</v>
      </c>
      <c r="Q332">
        <v>9.58</v>
      </c>
      <c r="R332">
        <v>153.28</v>
      </c>
      <c r="S332">
        <v>16776</v>
      </c>
      <c r="T332">
        <v>14702</v>
      </c>
      <c r="U332">
        <v>248</v>
      </c>
      <c r="V332">
        <v>14454</v>
      </c>
      <c r="W332" s="3">
        <f t="shared" si="35"/>
        <v>94.298016701461378</v>
      </c>
      <c r="X332">
        <v>99.399922570654283</v>
      </c>
      <c r="Y332" s="3">
        <v>99.399922570654283</v>
      </c>
      <c r="Z332" s="4">
        <f t="shared" si="36"/>
        <v>0.94867293920106999</v>
      </c>
      <c r="AA332" s="5">
        <f t="shared" si="37"/>
        <v>168.77276728334957</v>
      </c>
      <c r="AB332" s="5">
        <f t="shared" si="38"/>
        <v>9.5833333333333339</v>
      </c>
      <c r="AC332" s="5">
        <f t="shared" si="39"/>
        <v>18</v>
      </c>
      <c r="AD332" s="5">
        <f t="shared" si="40"/>
        <v>2</v>
      </c>
      <c r="AE332" s="5" t="str">
        <f t="shared" si="41"/>
        <v>Shortage</v>
      </c>
    </row>
    <row r="333" spans="1:31" x14ac:dyDescent="0.25">
      <c r="A333" t="s">
        <v>887</v>
      </c>
      <c r="B333" s="2">
        <v>46138</v>
      </c>
      <c r="C333" t="s">
        <v>888</v>
      </c>
      <c r="D333" t="s">
        <v>685</v>
      </c>
      <c r="E333" t="s">
        <v>686</v>
      </c>
      <c r="F333" t="s">
        <v>42</v>
      </c>
      <c r="G333" t="s">
        <v>43</v>
      </c>
      <c r="H333" t="s">
        <v>74</v>
      </c>
      <c r="I333">
        <v>8</v>
      </c>
      <c r="J333">
        <v>23</v>
      </c>
      <c r="K333">
        <v>10</v>
      </c>
      <c r="L333">
        <v>13</v>
      </c>
      <c r="M333">
        <v>0</v>
      </c>
      <c r="N333">
        <v>23</v>
      </c>
      <c r="O333">
        <v>2</v>
      </c>
      <c r="P333">
        <v>55</v>
      </c>
      <c r="Q333">
        <v>7.08</v>
      </c>
      <c r="R333">
        <v>162.84</v>
      </c>
      <c r="S333">
        <v>23226</v>
      </c>
      <c r="T333">
        <v>18853</v>
      </c>
      <c r="U333">
        <v>829</v>
      </c>
      <c r="V333">
        <v>18024</v>
      </c>
      <c r="W333" s="3">
        <f t="shared" si="35"/>
        <v>110.68533529845247</v>
      </c>
      <c r="X333">
        <v>115.1855592022217</v>
      </c>
      <c r="Y333" s="3">
        <v>115.1855592022217</v>
      </c>
      <c r="Z333" s="4">
        <f t="shared" si="36"/>
        <v>0.96093065888694817</v>
      </c>
      <c r="AA333" s="5">
        <f t="shared" si="37"/>
        <v>201.63985972602734</v>
      </c>
      <c r="AB333" s="5">
        <f t="shared" si="38"/>
        <v>7.083333333333333</v>
      </c>
      <c r="AC333" s="5">
        <f t="shared" si="39"/>
        <v>29</v>
      </c>
      <c r="AD333" s="5">
        <f t="shared" si="40"/>
        <v>6</v>
      </c>
      <c r="AE333" s="5" t="str">
        <f t="shared" si="41"/>
        <v>Shortage</v>
      </c>
    </row>
    <row r="334" spans="1:31" x14ac:dyDescent="0.25">
      <c r="A334" t="s">
        <v>889</v>
      </c>
      <c r="B334" s="2">
        <v>46140</v>
      </c>
      <c r="C334" t="s">
        <v>890</v>
      </c>
      <c r="D334" t="s">
        <v>186</v>
      </c>
      <c r="E334" t="s">
        <v>187</v>
      </c>
      <c r="F334" t="s">
        <v>42</v>
      </c>
      <c r="G334" t="s">
        <v>36</v>
      </c>
      <c r="H334" t="s">
        <v>44</v>
      </c>
      <c r="I334">
        <v>8</v>
      </c>
      <c r="J334">
        <v>18</v>
      </c>
      <c r="K334">
        <v>6</v>
      </c>
      <c r="L334">
        <v>12</v>
      </c>
      <c r="M334">
        <v>0</v>
      </c>
      <c r="N334">
        <v>18</v>
      </c>
      <c r="O334">
        <v>0</v>
      </c>
      <c r="P334">
        <v>39</v>
      </c>
      <c r="Q334">
        <v>7.35</v>
      </c>
      <c r="R334">
        <v>132.30000000000001</v>
      </c>
      <c r="S334">
        <v>14004</v>
      </c>
      <c r="T334">
        <v>11185</v>
      </c>
      <c r="U334">
        <v>98</v>
      </c>
      <c r="V334">
        <v>11087</v>
      </c>
      <c r="W334" s="3">
        <f t="shared" si="35"/>
        <v>83.801965230536652</v>
      </c>
      <c r="X334">
        <v>112.98347693798689</v>
      </c>
      <c r="Y334" s="3">
        <v>112.98347693798689</v>
      </c>
      <c r="Z334" s="4">
        <f t="shared" si="36"/>
        <v>0.74171876721879371</v>
      </c>
      <c r="AA334" s="5">
        <f t="shared" si="37"/>
        <v>123.94732733961054</v>
      </c>
      <c r="AB334" s="5">
        <f t="shared" si="38"/>
        <v>7.35</v>
      </c>
      <c r="AC334" s="5">
        <f t="shared" si="39"/>
        <v>17</v>
      </c>
      <c r="AD334" s="5">
        <f t="shared" si="40"/>
        <v>-1</v>
      </c>
      <c r="AE334" s="5" t="str">
        <f t="shared" si="41"/>
        <v>Surplus</v>
      </c>
    </row>
    <row r="335" spans="1:31" x14ac:dyDescent="0.25">
      <c r="A335" t="s">
        <v>891</v>
      </c>
      <c r="B335" s="2">
        <v>46140</v>
      </c>
      <c r="C335" t="s">
        <v>892</v>
      </c>
      <c r="D335" t="s">
        <v>40</v>
      </c>
      <c r="E335" t="s">
        <v>41</v>
      </c>
      <c r="F335" t="s">
        <v>49</v>
      </c>
      <c r="G335" t="s">
        <v>43</v>
      </c>
      <c r="H335" t="s">
        <v>44</v>
      </c>
      <c r="I335">
        <v>8</v>
      </c>
      <c r="J335">
        <v>25</v>
      </c>
      <c r="K335">
        <v>10</v>
      </c>
      <c r="L335">
        <v>15</v>
      </c>
      <c r="M335">
        <v>1</v>
      </c>
      <c r="N335">
        <v>24</v>
      </c>
      <c r="O335">
        <v>0</v>
      </c>
      <c r="P335">
        <v>13</v>
      </c>
      <c r="Q335">
        <v>7.78</v>
      </c>
      <c r="R335">
        <v>186.72</v>
      </c>
      <c r="S335">
        <v>29255</v>
      </c>
      <c r="T335">
        <v>23335</v>
      </c>
      <c r="U335">
        <v>259</v>
      </c>
      <c r="V335">
        <v>23076</v>
      </c>
      <c r="W335" s="3">
        <f t="shared" si="35"/>
        <v>123.58611825192803</v>
      </c>
      <c r="X335">
        <v>124.78240035826239</v>
      </c>
      <c r="Y335" s="3">
        <v>124.78240035826239</v>
      </c>
      <c r="Z335" s="4">
        <f t="shared" si="36"/>
        <v>0.9904130542215912</v>
      </c>
      <c r="AA335" s="5">
        <f t="shared" si="37"/>
        <v>234.44812662688051</v>
      </c>
      <c r="AB335" s="5">
        <f t="shared" si="38"/>
        <v>7.7833333333333332</v>
      </c>
      <c r="AC335" s="5">
        <f t="shared" si="39"/>
        <v>31</v>
      </c>
      <c r="AD335" s="5">
        <f t="shared" si="40"/>
        <v>7</v>
      </c>
      <c r="AE335" s="5" t="str">
        <f t="shared" si="41"/>
        <v>Shortage</v>
      </c>
    </row>
    <row r="336" spans="1:31" x14ac:dyDescent="0.25">
      <c r="A336" t="s">
        <v>893</v>
      </c>
      <c r="B336" s="2">
        <v>46141</v>
      </c>
      <c r="C336" t="s">
        <v>894</v>
      </c>
      <c r="D336" t="s">
        <v>198</v>
      </c>
      <c r="E336" t="s">
        <v>199</v>
      </c>
      <c r="F336" t="s">
        <v>42</v>
      </c>
      <c r="G336" t="s">
        <v>43</v>
      </c>
      <c r="H336" t="s">
        <v>50</v>
      </c>
      <c r="I336">
        <v>9</v>
      </c>
      <c r="J336">
        <v>21</v>
      </c>
      <c r="K336">
        <v>9</v>
      </c>
      <c r="L336">
        <v>12</v>
      </c>
      <c r="M336">
        <v>0</v>
      </c>
      <c r="N336">
        <v>21</v>
      </c>
      <c r="O336">
        <v>3</v>
      </c>
      <c r="P336">
        <v>24</v>
      </c>
      <c r="Q336">
        <v>8.6</v>
      </c>
      <c r="R336">
        <v>180.6</v>
      </c>
      <c r="S336">
        <v>17664</v>
      </c>
      <c r="T336">
        <v>15884</v>
      </c>
      <c r="U336">
        <v>288</v>
      </c>
      <c r="V336">
        <v>15596</v>
      </c>
      <c r="W336" s="3">
        <f t="shared" si="35"/>
        <v>86.356589147286826</v>
      </c>
      <c r="X336">
        <v>115.1855592022217</v>
      </c>
      <c r="Y336" s="3">
        <v>115.1855592022217</v>
      </c>
      <c r="Z336" s="4">
        <f t="shared" si="36"/>
        <v>0.74971714983540383</v>
      </c>
      <c r="AA336" s="5">
        <f t="shared" si="37"/>
        <v>153.35255671232872</v>
      </c>
      <c r="AB336" s="5">
        <f t="shared" si="38"/>
        <v>8.6</v>
      </c>
      <c r="AC336" s="5">
        <f t="shared" si="39"/>
        <v>18</v>
      </c>
      <c r="AD336" s="5">
        <f t="shared" si="40"/>
        <v>-3</v>
      </c>
      <c r="AE336" s="5" t="str">
        <f t="shared" si="41"/>
        <v>Surplus</v>
      </c>
    </row>
    <row r="337" spans="1:31" x14ac:dyDescent="0.25">
      <c r="A337" t="s">
        <v>895</v>
      </c>
      <c r="B337" s="2">
        <v>46146</v>
      </c>
      <c r="C337" t="s">
        <v>896</v>
      </c>
      <c r="D337" t="s">
        <v>799</v>
      </c>
      <c r="E337" t="s">
        <v>800</v>
      </c>
      <c r="F337" t="s">
        <v>42</v>
      </c>
      <c r="G337" t="s">
        <v>36</v>
      </c>
      <c r="H337" t="s">
        <v>37</v>
      </c>
      <c r="I337">
        <v>9</v>
      </c>
      <c r="J337">
        <v>18</v>
      </c>
      <c r="K337">
        <v>6</v>
      </c>
      <c r="L337">
        <v>12</v>
      </c>
      <c r="M337">
        <v>1</v>
      </c>
      <c r="N337">
        <v>17</v>
      </c>
      <c r="O337">
        <v>0</v>
      </c>
      <c r="P337">
        <v>33</v>
      </c>
      <c r="Q337">
        <v>8.4499999999999993</v>
      </c>
      <c r="R337">
        <v>143.65</v>
      </c>
      <c r="S337">
        <v>17900</v>
      </c>
      <c r="T337">
        <v>14592</v>
      </c>
      <c r="U337">
        <v>93</v>
      </c>
      <c r="V337">
        <v>14499</v>
      </c>
      <c r="W337" s="3">
        <f t="shared" si="35"/>
        <v>100.93282283327532</v>
      </c>
      <c r="X337">
        <v>112.98347693798689</v>
      </c>
      <c r="Y337" s="3">
        <v>112.98347693798689</v>
      </c>
      <c r="Z337" s="4">
        <f t="shared" si="36"/>
        <v>0.89334144751691613</v>
      </c>
      <c r="AA337" s="5">
        <f t="shared" si="37"/>
        <v>158.43024559975927</v>
      </c>
      <c r="AB337" s="5">
        <f t="shared" si="38"/>
        <v>8.4499999999999993</v>
      </c>
      <c r="AC337" s="5">
        <f t="shared" si="39"/>
        <v>19</v>
      </c>
      <c r="AD337" s="5">
        <f t="shared" si="40"/>
        <v>2</v>
      </c>
      <c r="AE337" s="5" t="str">
        <f t="shared" si="41"/>
        <v>Shortage</v>
      </c>
    </row>
    <row r="338" spans="1:31" x14ac:dyDescent="0.25">
      <c r="A338" t="s">
        <v>897</v>
      </c>
      <c r="B338" s="2">
        <v>46147</v>
      </c>
      <c r="C338" t="s">
        <v>898</v>
      </c>
      <c r="D338" t="s">
        <v>324</v>
      </c>
      <c r="E338" t="s">
        <v>325</v>
      </c>
      <c r="F338" t="s">
        <v>42</v>
      </c>
      <c r="G338" t="s">
        <v>36</v>
      </c>
      <c r="H338" t="s">
        <v>44</v>
      </c>
      <c r="I338">
        <v>8</v>
      </c>
      <c r="J338">
        <v>21</v>
      </c>
      <c r="K338">
        <v>9</v>
      </c>
      <c r="L338">
        <v>12</v>
      </c>
      <c r="M338">
        <v>0</v>
      </c>
      <c r="N338">
        <v>21</v>
      </c>
      <c r="O338">
        <v>3</v>
      </c>
      <c r="P338">
        <v>57</v>
      </c>
      <c r="Q338">
        <v>7.05</v>
      </c>
      <c r="R338">
        <v>148.05000000000001</v>
      </c>
      <c r="S338">
        <v>15681</v>
      </c>
      <c r="T338">
        <v>11898</v>
      </c>
      <c r="U338">
        <v>200</v>
      </c>
      <c r="V338">
        <v>11698</v>
      </c>
      <c r="W338" s="3">
        <f t="shared" si="35"/>
        <v>79.013846673421142</v>
      </c>
      <c r="X338">
        <v>112.98347693798689</v>
      </c>
      <c r="Y338" s="3">
        <v>112.98347693798689</v>
      </c>
      <c r="Z338" s="4">
        <f t="shared" si="36"/>
        <v>0.69933983990233706</v>
      </c>
      <c r="AA338" s="5">
        <f t="shared" si="37"/>
        <v>138.7902056564148</v>
      </c>
      <c r="AB338" s="5">
        <f t="shared" si="38"/>
        <v>7.05</v>
      </c>
      <c r="AC338" s="5">
        <f t="shared" si="39"/>
        <v>20</v>
      </c>
      <c r="AD338" s="5">
        <f t="shared" si="40"/>
        <v>-1</v>
      </c>
      <c r="AE338" s="5" t="str">
        <f t="shared" si="41"/>
        <v>Surplus</v>
      </c>
    </row>
    <row r="339" spans="1:31" x14ac:dyDescent="0.25">
      <c r="A339" t="s">
        <v>899</v>
      </c>
      <c r="B339" s="2">
        <v>46147</v>
      </c>
      <c r="C339" t="s">
        <v>900</v>
      </c>
      <c r="D339" t="s">
        <v>248</v>
      </c>
      <c r="E339" t="s">
        <v>249</v>
      </c>
      <c r="F339" t="s">
        <v>42</v>
      </c>
      <c r="G339" t="s">
        <v>36</v>
      </c>
      <c r="H339" t="s">
        <v>37</v>
      </c>
      <c r="I339">
        <v>9</v>
      </c>
      <c r="J339">
        <v>17</v>
      </c>
      <c r="K339">
        <v>7</v>
      </c>
      <c r="L339">
        <v>10</v>
      </c>
      <c r="M339">
        <v>0</v>
      </c>
      <c r="N339">
        <v>17</v>
      </c>
      <c r="O339">
        <v>0</v>
      </c>
      <c r="P339">
        <v>21</v>
      </c>
      <c r="Q339">
        <v>8.65</v>
      </c>
      <c r="R339">
        <v>147.05000000000001</v>
      </c>
      <c r="S339">
        <v>19400</v>
      </c>
      <c r="T339">
        <v>17505</v>
      </c>
      <c r="U339">
        <v>647</v>
      </c>
      <c r="V339">
        <v>16858</v>
      </c>
      <c r="W339" s="3">
        <f t="shared" si="35"/>
        <v>114.64127847670859</v>
      </c>
      <c r="X339">
        <v>112.98347693798689</v>
      </c>
      <c r="Y339" s="3">
        <v>112.98347693798689</v>
      </c>
      <c r="Z339" s="4">
        <f t="shared" si="36"/>
        <v>1.0146729555829797</v>
      </c>
      <c r="AA339" s="5">
        <f t="shared" si="37"/>
        <v>171.70652316398491</v>
      </c>
      <c r="AB339" s="5">
        <f t="shared" si="38"/>
        <v>8.65</v>
      </c>
      <c r="AC339" s="5">
        <f t="shared" si="39"/>
        <v>20</v>
      </c>
      <c r="AD339" s="5">
        <f t="shared" si="40"/>
        <v>3</v>
      </c>
      <c r="AE339" s="5" t="str">
        <f t="shared" si="41"/>
        <v>Shortage</v>
      </c>
    </row>
    <row r="340" spans="1:31" x14ac:dyDescent="0.25">
      <c r="A340" t="s">
        <v>901</v>
      </c>
      <c r="B340" s="2">
        <v>46147</v>
      </c>
      <c r="C340" t="s">
        <v>902</v>
      </c>
      <c r="D340" t="s">
        <v>324</v>
      </c>
      <c r="E340" t="s">
        <v>325</v>
      </c>
      <c r="F340" t="s">
        <v>49</v>
      </c>
      <c r="G340" t="s">
        <v>36</v>
      </c>
      <c r="H340" t="s">
        <v>44</v>
      </c>
      <c r="I340">
        <v>8</v>
      </c>
      <c r="J340">
        <v>24</v>
      </c>
      <c r="K340">
        <v>11</v>
      </c>
      <c r="L340">
        <v>13</v>
      </c>
      <c r="M340">
        <v>0</v>
      </c>
      <c r="N340">
        <v>24</v>
      </c>
      <c r="O340">
        <v>0</v>
      </c>
      <c r="P340">
        <v>17</v>
      </c>
      <c r="Q340">
        <v>7.72</v>
      </c>
      <c r="R340">
        <v>185.28</v>
      </c>
      <c r="S340">
        <v>20072</v>
      </c>
      <c r="T340">
        <v>17437</v>
      </c>
      <c r="U340">
        <v>524</v>
      </c>
      <c r="V340">
        <v>16913</v>
      </c>
      <c r="W340" s="3">
        <f t="shared" si="35"/>
        <v>91.283462867012091</v>
      </c>
      <c r="X340">
        <v>118.4084783141387</v>
      </c>
      <c r="Y340" s="3">
        <v>118.4084783141387</v>
      </c>
      <c r="Z340" s="4">
        <f t="shared" si="36"/>
        <v>0.77091998957064778</v>
      </c>
      <c r="AA340" s="5">
        <f t="shared" si="37"/>
        <v>169.51488850949349</v>
      </c>
      <c r="AB340" s="5">
        <f t="shared" si="38"/>
        <v>7.7166666666666668</v>
      </c>
      <c r="AC340" s="5">
        <f t="shared" si="39"/>
        <v>22</v>
      </c>
      <c r="AD340" s="5">
        <f t="shared" si="40"/>
        <v>-2</v>
      </c>
      <c r="AE340" s="5" t="str">
        <f t="shared" si="41"/>
        <v>Surplus</v>
      </c>
    </row>
    <row r="341" spans="1:31" x14ac:dyDescent="0.25">
      <c r="A341" t="s">
        <v>903</v>
      </c>
      <c r="B341" s="2">
        <v>46148</v>
      </c>
      <c r="C341" t="s">
        <v>904</v>
      </c>
      <c r="D341" t="s">
        <v>208</v>
      </c>
      <c r="E341" t="s">
        <v>209</v>
      </c>
      <c r="F341" t="s">
        <v>35</v>
      </c>
      <c r="G341" t="s">
        <v>79</v>
      </c>
      <c r="H341" t="s">
        <v>50</v>
      </c>
      <c r="I341">
        <v>8</v>
      </c>
      <c r="J341">
        <v>15</v>
      </c>
      <c r="K341">
        <v>5</v>
      </c>
      <c r="L341">
        <v>10</v>
      </c>
      <c r="M341">
        <v>2</v>
      </c>
      <c r="N341">
        <v>13</v>
      </c>
      <c r="O341">
        <v>2</v>
      </c>
      <c r="P341">
        <v>50</v>
      </c>
      <c r="Q341">
        <v>7.17</v>
      </c>
      <c r="R341">
        <v>93.21</v>
      </c>
      <c r="S341">
        <v>11652</v>
      </c>
      <c r="T341">
        <v>9339</v>
      </c>
      <c r="U341">
        <v>59</v>
      </c>
      <c r="V341">
        <v>9280</v>
      </c>
      <c r="W341" s="3">
        <f t="shared" si="35"/>
        <v>99.560133032936392</v>
      </c>
      <c r="X341">
        <v>100.6650131940286</v>
      </c>
      <c r="Y341" s="3">
        <v>100.6650131940286</v>
      </c>
      <c r="Z341" s="4">
        <f t="shared" si="36"/>
        <v>0.98902418898050914</v>
      </c>
      <c r="AA341" s="5">
        <f t="shared" si="37"/>
        <v>115.75024559467489</v>
      </c>
      <c r="AB341" s="5">
        <f t="shared" si="38"/>
        <v>7.166666666666667</v>
      </c>
      <c r="AC341" s="5">
        <f t="shared" si="39"/>
        <v>17</v>
      </c>
      <c r="AD341" s="5">
        <f t="shared" si="40"/>
        <v>4</v>
      </c>
      <c r="AE341" s="5" t="str">
        <f t="shared" si="41"/>
        <v>Shortage</v>
      </c>
    </row>
    <row r="342" spans="1:31" x14ac:dyDescent="0.25">
      <c r="A342" t="s">
        <v>905</v>
      </c>
      <c r="B342" s="2">
        <v>46149</v>
      </c>
      <c r="C342" t="s">
        <v>906</v>
      </c>
      <c r="D342" t="s">
        <v>542</v>
      </c>
      <c r="E342" t="s">
        <v>108</v>
      </c>
      <c r="F342" t="s">
        <v>55</v>
      </c>
      <c r="G342" t="s">
        <v>36</v>
      </c>
      <c r="H342" t="s">
        <v>50</v>
      </c>
      <c r="I342">
        <v>10</v>
      </c>
      <c r="J342">
        <v>16</v>
      </c>
      <c r="K342">
        <v>6</v>
      </c>
      <c r="L342">
        <v>10</v>
      </c>
      <c r="M342">
        <v>0</v>
      </c>
      <c r="N342">
        <v>16</v>
      </c>
      <c r="O342">
        <v>0</v>
      </c>
      <c r="P342">
        <v>5</v>
      </c>
      <c r="Q342">
        <v>9.92</v>
      </c>
      <c r="R342">
        <v>158.72</v>
      </c>
      <c r="S342">
        <v>16797</v>
      </c>
      <c r="T342">
        <v>16820</v>
      </c>
      <c r="U342">
        <v>195</v>
      </c>
      <c r="V342">
        <v>16625</v>
      </c>
      <c r="W342" s="3">
        <f t="shared" si="35"/>
        <v>104.74420362903226</v>
      </c>
      <c r="X342">
        <v>108.32817332835501</v>
      </c>
      <c r="Y342" s="3">
        <v>108.32817332835501</v>
      </c>
      <c r="Z342" s="4">
        <f t="shared" si="36"/>
        <v>0.96691562693982358</v>
      </c>
      <c r="AA342" s="5">
        <f t="shared" si="37"/>
        <v>155.05661624226215</v>
      </c>
      <c r="AB342" s="5">
        <f t="shared" si="38"/>
        <v>9.9166666666666661</v>
      </c>
      <c r="AC342" s="5">
        <f t="shared" si="39"/>
        <v>16</v>
      </c>
      <c r="AD342" s="5">
        <f t="shared" si="40"/>
        <v>0</v>
      </c>
      <c r="AE342" s="5" t="str">
        <f t="shared" si="41"/>
        <v>Balanced</v>
      </c>
    </row>
    <row r="343" spans="1:31" x14ac:dyDescent="0.25">
      <c r="A343" t="s">
        <v>907</v>
      </c>
      <c r="B343" s="2">
        <v>46150</v>
      </c>
      <c r="C343" t="s">
        <v>908</v>
      </c>
      <c r="D343" t="s">
        <v>216</v>
      </c>
      <c r="E343" t="s">
        <v>217</v>
      </c>
      <c r="F343" t="s">
        <v>55</v>
      </c>
      <c r="G343" t="s">
        <v>43</v>
      </c>
      <c r="H343" t="s">
        <v>88</v>
      </c>
      <c r="I343">
        <v>9</v>
      </c>
      <c r="J343">
        <v>17</v>
      </c>
      <c r="K343">
        <v>7</v>
      </c>
      <c r="L343">
        <v>10</v>
      </c>
      <c r="M343">
        <v>0</v>
      </c>
      <c r="N343">
        <v>17</v>
      </c>
      <c r="O343">
        <v>2</v>
      </c>
      <c r="P343">
        <v>17</v>
      </c>
      <c r="Q343">
        <v>8.7200000000000006</v>
      </c>
      <c r="R343">
        <v>148.24</v>
      </c>
      <c r="S343">
        <v>16014</v>
      </c>
      <c r="T343">
        <v>14315</v>
      </c>
      <c r="U343">
        <v>260</v>
      </c>
      <c r="V343">
        <v>14055</v>
      </c>
      <c r="W343" s="3">
        <f t="shared" si="35"/>
        <v>94.812466270912026</v>
      </c>
      <c r="X343">
        <v>109.38855294136761</v>
      </c>
      <c r="Y343" s="3">
        <v>109.38855294136761</v>
      </c>
      <c r="Z343" s="4">
        <f t="shared" si="36"/>
        <v>0.86674943329519694</v>
      </c>
      <c r="AA343" s="5">
        <f t="shared" si="37"/>
        <v>146.39557402851395</v>
      </c>
      <c r="AB343" s="5">
        <f t="shared" si="38"/>
        <v>8.7166666666666668</v>
      </c>
      <c r="AC343" s="5">
        <f t="shared" si="39"/>
        <v>17</v>
      </c>
      <c r="AD343" s="5">
        <f t="shared" si="40"/>
        <v>0</v>
      </c>
      <c r="AE343" s="5" t="str">
        <f t="shared" si="41"/>
        <v>Balanced</v>
      </c>
    </row>
    <row r="344" spans="1:31" x14ac:dyDescent="0.25">
      <c r="A344" t="s">
        <v>909</v>
      </c>
      <c r="B344" s="2">
        <v>46151</v>
      </c>
      <c r="C344" t="s">
        <v>910</v>
      </c>
      <c r="D344" t="s">
        <v>767</v>
      </c>
      <c r="E344" t="s">
        <v>768</v>
      </c>
      <c r="F344" t="s">
        <v>68</v>
      </c>
      <c r="G344" t="s">
        <v>36</v>
      </c>
      <c r="H344" t="s">
        <v>88</v>
      </c>
      <c r="I344">
        <v>10</v>
      </c>
      <c r="J344">
        <v>28</v>
      </c>
      <c r="K344">
        <v>10</v>
      </c>
      <c r="L344">
        <v>18</v>
      </c>
      <c r="M344">
        <v>1</v>
      </c>
      <c r="N344">
        <v>27</v>
      </c>
      <c r="O344">
        <v>0</v>
      </c>
      <c r="P344">
        <v>59</v>
      </c>
      <c r="Q344">
        <v>9.02</v>
      </c>
      <c r="R344">
        <v>243.54</v>
      </c>
      <c r="S344">
        <v>35216</v>
      </c>
      <c r="T344">
        <v>31822</v>
      </c>
      <c r="U344">
        <v>1443</v>
      </c>
      <c r="V344">
        <v>30379</v>
      </c>
      <c r="W344" s="3">
        <f t="shared" si="35"/>
        <v>124.7392625441406</v>
      </c>
      <c r="X344">
        <v>120.8174989437542</v>
      </c>
      <c r="Y344" s="3">
        <v>120.8174989437542</v>
      </c>
      <c r="Z344" s="4">
        <f t="shared" si="36"/>
        <v>1.0324602283168611</v>
      </c>
      <c r="AA344" s="5">
        <f t="shared" si="37"/>
        <v>291.48095522482697</v>
      </c>
      <c r="AB344" s="5">
        <f t="shared" si="38"/>
        <v>9.0166666666666675</v>
      </c>
      <c r="AC344" s="5">
        <f t="shared" si="39"/>
        <v>33</v>
      </c>
      <c r="AD344" s="5">
        <f t="shared" si="40"/>
        <v>6</v>
      </c>
      <c r="AE344" s="5" t="str">
        <f t="shared" si="41"/>
        <v>Shortage</v>
      </c>
    </row>
    <row r="345" spans="1:31" x14ac:dyDescent="0.25">
      <c r="A345" t="s">
        <v>911</v>
      </c>
      <c r="B345" s="2">
        <v>46151</v>
      </c>
      <c r="C345" t="s">
        <v>912</v>
      </c>
      <c r="D345" t="s">
        <v>216</v>
      </c>
      <c r="E345" t="s">
        <v>217</v>
      </c>
      <c r="F345" t="s">
        <v>49</v>
      </c>
      <c r="G345" t="s">
        <v>43</v>
      </c>
      <c r="H345" t="s">
        <v>50</v>
      </c>
      <c r="I345">
        <v>8</v>
      </c>
      <c r="J345">
        <v>21</v>
      </c>
      <c r="K345">
        <v>8</v>
      </c>
      <c r="L345">
        <v>13</v>
      </c>
      <c r="M345">
        <v>0</v>
      </c>
      <c r="N345">
        <v>21</v>
      </c>
      <c r="O345">
        <v>1</v>
      </c>
      <c r="P345">
        <v>13</v>
      </c>
      <c r="Q345">
        <v>7.78</v>
      </c>
      <c r="R345">
        <v>163.38</v>
      </c>
      <c r="S345">
        <v>22192</v>
      </c>
      <c r="T345">
        <v>20778</v>
      </c>
      <c r="U345">
        <v>107</v>
      </c>
      <c r="V345">
        <v>20671</v>
      </c>
      <c r="W345" s="3">
        <f t="shared" si="35"/>
        <v>126.5209940017138</v>
      </c>
      <c r="X345">
        <v>124.78240035826239</v>
      </c>
      <c r="Y345" s="3">
        <v>124.78240035826239</v>
      </c>
      <c r="Z345" s="4">
        <f t="shared" si="36"/>
        <v>1.013933003680485</v>
      </c>
      <c r="AA345" s="5">
        <f t="shared" si="37"/>
        <v>177.84559309874319</v>
      </c>
      <c r="AB345" s="5">
        <f t="shared" si="38"/>
        <v>7.7833333333333332</v>
      </c>
      <c r="AC345" s="5">
        <f t="shared" si="39"/>
        <v>23</v>
      </c>
      <c r="AD345" s="5">
        <f t="shared" si="40"/>
        <v>2</v>
      </c>
      <c r="AE345" s="5" t="str">
        <f t="shared" si="41"/>
        <v>Shortage</v>
      </c>
    </row>
    <row r="346" spans="1:31" x14ac:dyDescent="0.25">
      <c r="A346" t="s">
        <v>913</v>
      </c>
      <c r="B346" s="2">
        <v>46152</v>
      </c>
      <c r="C346" t="s">
        <v>914</v>
      </c>
      <c r="D346" t="s">
        <v>174</v>
      </c>
      <c r="E346" t="s">
        <v>175</v>
      </c>
      <c r="F346" t="s">
        <v>35</v>
      </c>
      <c r="G346" t="s">
        <v>36</v>
      </c>
      <c r="H346" t="s">
        <v>37</v>
      </c>
      <c r="I346">
        <v>8</v>
      </c>
      <c r="J346">
        <v>18</v>
      </c>
      <c r="K346">
        <v>6</v>
      </c>
      <c r="L346">
        <v>12</v>
      </c>
      <c r="M346">
        <v>1</v>
      </c>
      <c r="N346">
        <v>17</v>
      </c>
      <c r="O346">
        <v>1</v>
      </c>
      <c r="P346">
        <v>58</v>
      </c>
      <c r="Q346">
        <v>7.03</v>
      </c>
      <c r="R346">
        <v>119.51</v>
      </c>
      <c r="S346">
        <v>18488</v>
      </c>
      <c r="T346">
        <v>14618</v>
      </c>
      <c r="U346">
        <v>299</v>
      </c>
      <c r="V346">
        <v>14319</v>
      </c>
      <c r="W346" s="3">
        <f t="shared" si="35"/>
        <v>119.81424148606811</v>
      </c>
      <c r="X346">
        <v>114.1563708384419</v>
      </c>
      <c r="Y346" s="3">
        <v>114.1563708384419</v>
      </c>
      <c r="Z346" s="4">
        <f t="shared" si="36"/>
        <v>1.0495624607375915</v>
      </c>
      <c r="AA346" s="5">
        <f t="shared" si="37"/>
        <v>161.95329147389299</v>
      </c>
      <c r="AB346" s="5">
        <f t="shared" si="38"/>
        <v>7.0333333333333332</v>
      </c>
      <c r="AC346" s="5">
        <f t="shared" si="39"/>
        <v>24</v>
      </c>
      <c r="AD346" s="5">
        <f t="shared" si="40"/>
        <v>7</v>
      </c>
      <c r="AE346" s="5" t="str">
        <f t="shared" si="41"/>
        <v>Shortage</v>
      </c>
    </row>
    <row r="347" spans="1:31" x14ac:dyDescent="0.25">
      <c r="A347" t="s">
        <v>915</v>
      </c>
      <c r="B347" s="2">
        <v>46152</v>
      </c>
      <c r="C347" t="s">
        <v>916</v>
      </c>
      <c r="D347" t="s">
        <v>917</v>
      </c>
      <c r="E347" t="s">
        <v>918</v>
      </c>
      <c r="F347" t="s">
        <v>35</v>
      </c>
      <c r="G347" t="s">
        <v>43</v>
      </c>
      <c r="H347" t="s">
        <v>37</v>
      </c>
      <c r="I347">
        <v>10</v>
      </c>
      <c r="J347">
        <v>20</v>
      </c>
      <c r="K347">
        <v>9</v>
      </c>
      <c r="L347">
        <v>11</v>
      </c>
      <c r="M347">
        <v>0</v>
      </c>
      <c r="N347">
        <v>20</v>
      </c>
      <c r="O347">
        <v>0</v>
      </c>
      <c r="P347">
        <v>42</v>
      </c>
      <c r="Q347">
        <v>9.3000000000000007</v>
      </c>
      <c r="R347">
        <v>186</v>
      </c>
      <c r="S347">
        <v>26102</v>
      </c>
      <c r="T347">
        <v>20467</v>
      </c>
      <c r="U347">
        <v>504</v>
      </c>
      <c r="V347">
        <v>19963</v>
      </c>
      <c r="W347" s="3">
        <f t="shared" si="35"/>
        <v>107.32795698924731</v>
      </c>
      <c r="X347">
        <v>118.01656521145939</v>
      </c>
      <c r="Y347" s="3">
        <v>118.01656521145939</v>
      </c>
      <c r="Z347" s="4">
        <f t="shared" si="36"/>
        <v>0.90943128870883105</v>
      </c>
      <c r="AA347" s="5">
        <f t="shared" si="37"/>
        <v>221.17234096104247</v>
      </c>
      <c r="AB347" s="5">
        <f t="shared" si="38"/>
        <v>9.3000000000000007</v>
      </c>
      <c r="AC347" s="5">
        <f t="shared" si="39"/>
        <v>24</v>
      </c>
      <c r="AD347" s="5">
        <f t="shared" si="40"/>
        <v>4</v>
      </c>
      <c r="AE347" s="5" t="str">
        <f t="shared" si="41"/>
        <v>Shortage</v>
      </c>
    </row>
    <row r="348" spans="1:31" x14ac:dyDescent="0.25">
      <c r="A348" t="s">
        <v>919</v>
      </c>
      <c r="B348" s="2">
        <v>46153</v>
      </c>
      <c r="C348" t="s">
        <v>920</v>
      </c>
      <c r="D348" t="s">
        <v>86</v>
      </c>
      <c r="E348" t="s">
        <v>87</v>
      </c>
      <c r="F348" t="s">
        <v>55</v>
      </c>
      <c r="G348" t="s">
        <v>36</v>
      </c>
      <c r="H348" t="s">
        <v>69</v>
      </c>
      <c r="I348">
        <v>10</v>
      </c>
      <c r="J348">
        <v>13</v>
      </c>
      <c r="K348">
        <v>4</v>
      </c>
      <c r="L348">
        <v>9</v>
      </c>
      <c r="M348">
        <v>0</v>
      </c>
      <c r="N348">
        <v>13</v>
      </c>
      <c r="O348">
        <v>0</v>
      </c>
      <c r="P348">
        <v>42</v>
      </c>
      <c r="Q348">
        <v>9.3000000000000007</v>
      </c>
      <c r="R348">
        <v>120.9</v>
      </c>
      <c r="S348">
        <v>16336</v>
      </c>
      <c r="T348">
        <v>13620</v>
      </c>
      <c r="U348">
        <v>334</v>
      </c>
      <c r="V348">
        <v>13286</v>
      </c>
      <c r="W348" s="3">
        <f t="shared" si="35"/>
        <v>109.89247311827957</v>
      </c>
      <c r="X348">
        <v>108.32817332835501</v>
      </c>
      <c r="Y348" s="3">
        <v>108.32817332835501</v>
      </c>
      <c r="Z348" s="4">
        <f t="shared" si="36"/>
        <v>1.0144403781755185</v>
      </c>
      <c r="AA348" s="5">
        <f t="shared" si="37"/>
        <v>150.80102892978474</v>
      </c>
      <c r="AB348" s="5">
        <f t="shared" si="38"/>
        <v>9.3000000000000007</v>
      </c>
      <c r="AC348" s="5">
        <f t="shared" si="39"/>
        <v>17</v>
      </c>
      <c r="AD348" s="5">
        <f t="shared" si="40"/>
        <v>4</v>
      </c>
      <c r="AE348" s="5" t="str">
        <f t="shared" si="41"/>
        <v>Shortage</v>
      </c>
    </row>
    <row r="349" spans="1:31" x14ac:dyDescent="0.25">
      <c r="A349" t="s">
        <v>921</v>
      </c>
      <c r="B349" s="2">
        <v>46153</v>
      </c>
      <c r="C349" t="s">
        <v>922</v>
      </c>
      <c r="D349" t="s">
        <v>257</v>
      </c>
      <c r="E349" t="s">
        <v>258</v>
      </c>
      <c r="F349" t="s">
        <v>42</v>
      </c>
      <c r="G349" t="s">
        <v>43</v>
      </c>
      <c r="H349" t="s">
        <v>88</v>
      </c>
      <c r="I349">
        <v>10</v>
      </c>
      <c r="J349">
        <v>23</v>
      </c>
      <c r="K349">
        <v>8</v>
      </c>
      <c r="L349">
        <v>15</v>
      </c>
      <c r="M349">
        <v>0</v>
      </c>
      <c r="N349">
        <v>23</v>
      </c>
      <c r="O349">
        <v>0</v>
      </c>
      <c r="P349">
        <v>49</v>
      </c>
      <c r="Q349">
        <v>9.18</v>
      </c>
      <c r="R349">
        <v>211.14</v>
      </c>
      <c r="S349">
        <v>27271</v>
      </c>
      <c r="T349">
        <v>25599</v>
      </c>
      <c r="U349">
        <v>414</v>
      </c>
      <c r="V349">
        <v>25185</v>
      </c>
      <c r="W349" s="3">
        <f t="shared" si="35"/>
        <v>119.281045751634</v>
      </c>
      <c r="X349">
        <v>115.1855592022217</v>
      </c>
      <c r="Y349" s="3">
        <v>115.1855592022217</v>
      </c>
      <c r="Z349" s="4">
        <f t="shared" si="36"/>
        <v>1.0355555555555553</v>
      </c>
      <c r="AA349" s="5">
        <f t="shared" si="37"/>
        <v>236.75710904109582</v>
      </c>
      <c r="AB349" s="5">
        <f t="shared" si="38"/>
        <v>9.1833333333333336</v>
      </c>
      <c r="AC349" s="5">
        <f t="shared" si="39"/>
        <v>26</v>
      </c>
      <c r="AD349" s="5">
        <f t="shared" si="40"/>
        <v>3</v>
      </c>
      <c r="AE349" s="5" t="str">
        <f t="shared" si="41"/>
        <v>Shortage</v>
      </c>
    </row>
    <row r="350" spans="1:31" x14ac:dyDescent="0.25">
      <c r="A350" t="s">
        <v>923</v>
      </c>
      <c r="B350" s="2">
        <v>46154</v>
      </c>
      <c r="C350" t="s">
        <v>924</v>
      </c>
      <c r="D350" t="s">
        <v>542</v>
      </c>
      <c r="E350" t="s">
        <v>108</v>
      </c>
      <c r="F350" t="s">
        <v>49</v>
      </c>
      <c r="G350" t="s">
        <v>36</v>
      </c>
      <c r="H350" t="s">
        <v>88</v>
      </c>
      <c r="I350">
        <v>9</v>
      </c>
      <c r="J350">
        <v>20</v>
      </c>
      <c r="K350">
        <v>6</v>
      </c>
      <c r="L350">
        <v>14</v>
      </c>
      <c r="M350">
        <v>0</v>
      </c>
      <c r="N350">
        <v>20</v>
      </c>
      <c r="O350">
        <v>2</v>
      </c>
      <c r="P350">
        <v>7</v>
      </c>
      <c r="Q350">
        <v>8.8800000000000008</v>
      </c>
      <c r="R350">
        <v>177.6</v>
      </c>
      <c r="S350">
        <v>22366</v>
      </c>
      <c r="T350">
        <v>21246</v>
      </c>
      <c r="U350">
        <v>528</v>
      </c>
      <c r="V350">
        <v>20718</v>
      </c>
      <c r="W350" s="3">
        <f t="shared" si="35"/>
        <v>116.6554054054054</v>
      </c>
      <c r="X350">
        <v>118.4084783141387</v>
      </c>
      <c r="Y350" s="3">
        <v>118.4084783141387</v>
      </c>
      <c r="Z350" s="4">
        <f t="shared" si="36"/>
        <v>0.98519470114224095</v>
      </c>
      <c r="AA350" s="5">
        <f t="shared" si="37"/>
        <v>188.88850121578972</v>
      </c>
      <c r="AB350" s="5">
        <f t="shared" si="38"/>
        <v>8.8833333333333329</v>
      </c>
      <c r="AC350" s="5">
        <f t="shared" si="39"/>
        <v>22</v>
      </c>
      <c r="AD350" s="5">
        <f t="shared" si="40"/>
        <v>2</v>
      </c>
      <c r="AE350" s="5" t="str">
        <f t="shared" si="41"/>
        <v>Shortage</v>
      </c>
    </row>
    <row r="351" spans="1:31" x14ac:dyDescent="0.25">
      <c r="A351" t="s">
        <v>925</v>
      </c>
      <c r="B351" s="2">
        <v>46154</v>
      </c>
      <c r="C351" t="s">
        <v>926</v>
      </c>
      <c r="D351" t="s">
        <v>190</v>
      </c>
      <c r="E351" t="s">
        <v>108</v>
      </c>
      <c r="F351" t="s">
        <v>49</v>
      </c>
      <c r="G351" t="s">
        <v>36</v>
      </c>
      <c r="H351" t="s">
        <v>50</v>
      </c>
      <c r="I351">
        <v>9</v>
      </c>
      <c r="J351">
        <v>21</v>
      </c>
      <c r="K351">
        <v>10</v>
      </c>
      <c r="L351">
        <v>11</v>
      </c>
      <c r="M351">
        <v>1</v>
      </c>
      <c r="N351">
        <v>20</v>
      </c>
      <c r="O351">
        <v>1</v>
      </c>
      <c r="P351">
        <v>31</v>
      </c>
      <c r="Q351">
        <v>8.48</v>
      </c>
      <c r="R351">
        <v>169.6</v>
      </c>
      <c r="S351">
        <v>23775</v>
      </c>
      <c r="T351">
        <v>21153</v>
      </c>
      <c r="U351">
        <v>196</v>
      </c>
      <c r="V351">
        <v>20957</v>
      </c>
      <c r="W351" s="3">
        <f t="shared" si="35"/>
        <v>123.56721698113208</v>
      </c>
      <c r="X351">
        <v>118.4084783141387</v>
      </c>
      <c r="Y351" s="3">
        <v>118.4084783141387</v>
      </c>
      <c r="Z351" s="4">
        <f t="shared" si="36"/>
        <v>1.0435673081897665</v>
      </c>
      <c r="AA351" s="5">
        <f t="shared" si="37"/>
        <v>200.78798696259503</v>
      </c>
      <c r="AB351" s="5">
        <f t="shared" si="38"/>
        <v>8.4833333333333325</v>
      </c>
      <c r="AC351" s="5">
        <f t="shared" si="39"/>
        <v>24</v>
      </c>
      <c r="AD351" s="5">
        <f t="shared" si="40"/>
        <v>4</v>
      </c>
      <c r="AE351" s="5" t="str">
        <f t="shared" si="41"/>
        <v>Shortage</v>
      </c>
    </row>
    <row r="352" spans="1:31" x14ac:dyDescent="0.25">
      <c r="A352" t="s">
        <v>927</v>
      </c>
      <c r="B352" s="2">
        <v>46154</v>
      </c>
      <c r="C352" t="s">
        <v>928</v>
      </c>
      <c r="D352" t="s">
        <v>309</v>
      </c>
      <c r="E352" t="s">
        <v>135</v>
      </c>
      <c r="F352" t="s">
        <v>68</v>
      </c>
      <c r="G352" t="s">
        <v>36</v>
      </c>
      <c r="H352" t="s">
        <v>44</v>
      </c>
      <c r="I352">
        <v>8</v>
      </c>
      <c r="J352">
        <v>22</v>
      </c>
      <c r="K352">
        <v>9</v>
      </c>
      <c r="L352">
        <v>13</v>
      </c>
      <c r="M352">
        <v>0</v>
      </c>
      <c r="N352">
        <v>22</v>
      </c>
      <c r="O352">
        <v>0</v>
      </c>
      <c r="P352">
        <v>26</v>
      </c>
      <c r="Q352">
        <v>7.57</v>
      </c>
      <c r="R352">
        <v>166.54</v>
      </c>
      <c r="S352">
        <v>24074</v>
      </c>
      <c r="T352">
        <v>18830</v>
      </c>
      <c r="U352">
        <v>418</v>
      </c>
      <c r="V352">
        <v>18412</v>
      </c>
      <c r="W352" s="3">
        <f t="shared" si="35"/>
        <v>110.55602257715864</v>
      </c>
      <c r="X352">
        <v>120.8174989437542</v>
      </c>
      <c r="Y352" s="3">
        <v>120.8174989437542</v>
      </c>
      <c r="Z352" s="4">
        <f t="shared" si="36"/>
        <v>0.91506630698113756</v>
      </c>
      <c r="AA352" s="5">
        <f t="shared" si="37"/>
        <v>199.25921501824411</v>
      </c>
      <c r="AB352" s="5">
        <f t="shared" si="38"/>
        <v>7.5666666666666664</v>
      </c>
      <c r="AC352" s="5">
        <f t="shared" si="39"/>
        <v>27</v>
      </c>
      <c r="AD352" s="5">
        <f t="shared" si="40"/>
        <v>5</v>
      </c>
      <c r="AE352" s="5" t="str">
        <f t="shared" si="41"/>
        <v>Shortage</v>
      </c>
    </row>
    <row r="353" spans="1:31" x14ac:dyDescent="0.25">
      <c r="A353" t="s">
        <v>929</v>
      </c>
      <c r="B353" s="2">
        <v>46154</v>
      </c>
      <c r="C353" t="s">
        <v>930</v>
      </c>
      <c r="D353" t="s">
        <v>558</v>
      </c>
      <c r="E353" t="s">
        <v>143</v>
      </c>
      <c r="F353" t="s">
        <v>49</v>
      </c>
      <c r="G353" t="s">
        <v>43</v>
      </c>
      <c r="H353" t="s">
        <v>88</v>
      </c>
      <c r="I353">
        <v>8</v>
      </c>
      <c r="J353">
        <v>27</v>
      </c>
      <c r="K353">
        <v>13</v>
      </c>
      <c r="L353">
        <v>14</v>
      </c>
      <c r="M353">
        <v>2</v>
      </c>
      <c r="N353">
        <v>25</v>
      </c>
      <c r="O353">
        <v>0</v>
      </c>
      <c r="P353">
        <v>14</v>
      </c>
      <c r="Q353">
        <v>7.77</v>
      </c>
      <c r="R353">
        <v>194.25</v>
      </c>
      <c r="S353">
        <v>27240</v>
      </c>
      <c r="T353">
        <v>26111</v>
      </c>
      <c r="U353">
        <v>457</v>
      </c>
      <c r="V353">
        <v>25654</v>
      </c>
      <c r="W353" s="3">
        <f t="shared" si="35"/>
        <v>132.06692406692406</v>
      </c>
      <c r="X353">
        <v>124.78240035826239</v>
      </c>
      <c r="Y353" s="3">
        <v>124.78240035826239</v>
      </c>
      <c r="Z353" s="4">
        <f t="shared" si="36"/>
        <v>1.0583778135998914</v>
      </c>
      <c r="AA353" s="5">
        <f t="shared" si="37"/>
        <v>218.30001604225689</v>
      </c>
      <c r="AB353" s="5">
        <f t="shared" si="38"/>
        <v>7.7666666666666666</v>
      </c>
      <c r="AC353" s="5">
        <f t="shared" si="39"/>
        <v>29</v>
      </c>
      <c r="AD353" s="5">
        <f t="shared" si="40"/>
        <v>4</v>
      </c>
      <c r="AE353" s="5" t="str">
        <f t="shared" si="41"/>
        <v>Shortage</v>
      </c>
    </row>
    <row r="354" spans="1:31" x14ac:dyDescent="0.25">
      <c r="A354" t="s">
        <v>931</v>
      </c>
      <c r="B354" s="2">
        <v>46157</v>
      </c>
      <c r="C354" t="s">
        <v>932</v>
      </c>
      <c r="D354" t="s">
        <v>561</v>
      </c>
      <c r="E354" t="s">
        <v>562</v>
      </c>
      <c r="F354" t="s">
        <v>68</v>
      </c>
      <c r="G354" t="s">
        <v>43</v>
      </c>
      <c r="H354" t="s">
        <v>74</v>
      </c>
      <c r="I354">
        <v>8</v>
      </c>
      <c r="J354">
        <v>29</v>
      </c>
      <c r="K354">
        <v>10</v>
      </c>
      <c r="L354">
        <v>19</v>
      </c>
      <c r="M354">
        <v>1</v>
      </c>
      <c r="N354">
        <v>28</v>
      </c>
      <c r="O354">
        <v>2</v>
      </c>
      <c r="P354">
        <v>36</v>
      </c>
      <c r="Q354">
        <v>7.4</v>
      </c>
      <c r="R354">
        <v>207.2</v>
      </c>
      <c r="S354">
        <v>30003</v>
      </c>
      <c r="T354">
        <v>28908</v>
      </c>
      <c r="U354">
        <v>883</v>
      </c>
      <c r="V354">
        <v>28025</v>
      </c>
      <c r="W354" s="3">
        <f t="shared" si="35"/>
        <v>135.25579150579151</v>
      </c>
      <c r="X354">
        <v>128.22014138735929</v>
      </c>
      <c r="Y354" s="3">
        <v>128.22014138735929</v>
      </c>
      <c r="Z354" s="4">
        <f t="shared" si="36"/>
        <v>1.0548716452992917</v>
      </c>
      <c r="AA354" s="5">
        <f t="shared" si="37"/>
        <v>233.99599840838948</v>
      </c>
      <c r="AB354" s="5">
        <f t="shared" si="38"/>
        <v>7.4</v>
      </c>
      <c r="AC354" s="5">
        <f t="shared" si="39"/>
        <v>32</v>
      </c>
      <c r="AD354" s="5">
        <f t="shared" si="40"/>
        <v>4</v>
      </c>
      <c r="AE354" s="5" t="str">
        <f t="shared" si="41"/>
        <v>Shortage</v>
      </c>
    </row>
    <row r="355" spans="1:31" x14ac:dyDescent="0.25">
      <c r="A355" t="s">
        <v>933</v>
      </c>
      <c r="B355" s="2">
        <v>46157</v>
      </c>
      <c r="C355" t="s">
        <v>934</v>
      </c>
      <c r="D355" t="s">
        <v>204</v>
      </c>
      <c r="E355" t="s">
        <v>205</v>
      </c>
      <c r="F355" t="s">
        <v>35</v>
      </c>
      <c r="G355" t="s">
        <v>43</v>
      </c>
      <c r="H355" t="s">
        <v>50</v>
      </c>
      <c r="I355">
        <v>8</v>
      </c>
      <c r="J355">
        <v>19</v>
      </c>
      <c r="K355">
        <v>7</v>
      </c>
      <c r="L355">
        <v>12</v>
      </c>
      <c r="M355">
        <v>2</v>
      </c>
      <c r="N355">
        <v>17</v>
      </c>
      <c r="O355">
        <v>0</v>
      </c>
      <c r="P355">
        <v>35</v>
      </c>
      <c r="Q355">
        <v>7.42</v>
      </c>
      <c r="R355">
        <v>126.14</v>
      </c>
      <c r="S355">
        <v>17439</v>
      </c>
      <c r="T355">
        <v>13840</v>
      </c>
      <c r="U355">
        <v>414</v>
      </c>
      <c r="V355">
        <v>13426</v>
      </c>
      <c r="W355" s="3">
        <f t="shared" si="35"/>
        <v>106.43729189789123</v>
      </c>
      <c r="X355">
        <v>118.01656521145939</v>
      </c>
      <c r="Y355" s="3">
        <v>118.01656521145939</v>
      </c>
      <c r="Z355" s="4">
        <f t="shared" si="36"/>
        <v>0.90188433892461883</v>
      </c>
      <c r="AA355" s="5">
        <f t="shared" si="37"/>
        <v>147.76739154162973</v>
      </c>
      <c r="AB355" s="5">
        <f t="shared" si="38"/>
        <v>7.416666666666667</v>
      </c>
      <c r="AC355" s="5">
        <f t="shared" si="39"/>
        <v>20</v>
      </c>
      <c r="AD355" s="5">
        <f t="shared" si="40"/>
        <v>3</v>
      </c>
      <c r="AE355" s="5" t="str">
        <f t="shared" si="41"/>
        <v>Shortage</v>
      </c>
    </row>
    <row r="356" spans="1:31" x14ac:dyDescent="0.25">
      <c r="A356" t="s">
        <v>935</v>
      </c>
      <c r="B356" s="2">
        <v>46157</v>
      </c>
      <c r="C356" t="s">
        <v>936</v>
      </c>
      <c r="D356" t="s">
        <v>573</v>
      </c>
      <c r="E356" t="s">
        <v>574</v>
      </c>
      <c r="F356" t="s">
        <v>35</v>
      </c>
      <c r="G356" t="s">
        <v>43</v>
      </c>
      <c r="H356" t="s">
        <v>50</v>
      </c>
      <c r="I356">
        <v>10</v>
      </c>
      <c r="J356">
        <v>20</v>
      </c>
      <c r="K356">
        <v>10</v>
      </c>
      <c r="L356">
        <v>10</v>
      </c>
      <c r="M356">
        <v>0</v>
      </c>
      <c r="N356">
        <v>20</v>
      </c>
      <c r="O356">
        <v>0</v>
      </c>
      <c r="P356">
        <v>43</v>
      </c>
      <c r="Q356">
        <v>9.2799999999999994</v>
      </c>
      <c r="R356">
        <v>185.6</v>
      </c>
      <c r="S356">
        <v>28018</v>
      </c>
      <c r="T356">
        <v>24337</v>
      </c>
      <c r="U356">
        <v>861</v>
      </c>
      <c r="V356">
        <v>23476</v>
      </c>
      <c r="W356" s="3">
        <f t="shared" si="35"/>
        <v>126.48706896551724</v>
      </c>
      <c r="X356">
        <v>118.01656521145939</v>
      </c>
      <c r="Y356" s="3">
        <v>118.01656521145939</v>
      </c>
      <c r="Z356" s="4">
        <f t="shared" si="36"/>
        <v>1.0717738542795292</v>
      </c>
      <c r="AA356" s="5">
        <f t="shared" si="37"/>
        <v>237.40734997496313</v>
      </c>
      <c r="AB356" s="5">
        <f t="shared" si="38"/>
        <v>9.2833333333333332</v>
      </c>
      <c r="AC356" s="5">
        <f t="shared" si="39"/>
        <v>26</v>
      </c>
      <c r="AD356" s="5">
        <f t="shared" si="40"/>
        <v>6</v>
      </c>
      <c r="AE356" s="5" t="str">
        <f t="shared" si="41"/>
        <v>Shortage</v>
      </c>
    </row>
    <row r="357" spans="1:31" x14ac:dyDescent="0.25">
      <c r="A357" t="s">
        <v>937</v>
      </c>
      <c r="B357" s="2">
        <v>46158</v>
      </c>
      <c r="C357" t="s">
        <v>938</v>
      </c>
      <c r="D357" t="s">
        <v>448</v>
      </c>
      <c r="E357" t="s">
        <v>449</v>
      </c>
      <c r="F357" t="s">
        <v>49</v>
      </c>
      <c r="G357" t="s">
        <v>43</v>
      </c>
      <c r="H357" t="s">
        <v>37</v>
      </c>
      <c r="I357">
        <v>10</v>
      </c>
      <c r="J357">
        <v>25</v>
      </c>
      <c r="K357">
        <v>9</v>
      </c>
      <c r="L357">
        <v>16</v>
      </c>
      <c r="M357">
        <v>0</v>
      </c>
      <c r="N357">
        <v>25</v>
      </c>
      <c r="O357">
        <v>2</v>
      </c>
      <c r="P357">
        <v>24</v>
      </c>
      <c r="Q357">
        <v>9.6</v>
      </c>
      <c r="R357">
        <v>240</v>
      </c>
      <c r="S357">
        <v>33602</v>
      </c>
      <c r="T357">
        <v>30609</v>
      </c>
      <c r="U357">
        <v>810</v>
      </c>
      <c r="V357">
        <v>29799</v>
      </c>
      <c r="W357" s="3">
        <f t="shared" si="35"/>
        <v>124.16249999999999</v>
      </c>
      <c r="X357">
        <v>124.78240035826239</v>
      </c>
      <c r="Y357" s="3">
        <v>124.78240035826239</v>
      </c>
      <c r="Z357" s="4">
        <f t="shared" si="36"/>
        <v>0.99503214911331561</v>
      </c>
      <c r="AA357" s="5">
        <f t="shared" si="37"/>
        <v>269.28477015609087</v>
      </c>
      <c r="AB357" s="5">
        <f t="shared" si="38"/>
        <v>9.6</v>
      </c>
      <c r="AC357" s="5">
        <f t="shared" si="39"/>
        <v>29</v>
      </c>
      <c r="AD357" s="5">
        <f t="shared" si="40"/>
        <v>4</v>
      </c>
      <c r="AE357" s="5" t="str">
        <f t="shared" si="41"/>
        <v>Shortage</v>
      </c>
    </row>
    <row r="358" spans="1:31" x14ac:dyDescent="0.25">
      <c r="A358" t="s">
        <v>939</v>
      </c>
      <c r="B358" s="2">
        <v>46158</v>
      </c>
      <c r="C358" t="s">
        <v>940</v>
      </c>
      <c r="D358" t="s">
        <v>398</v>
      </c>
      <c r="E358" t="s">
        <v>399</v>
      </c>
      <c r="F358" t="s">
        <v>42</v>
      </c>
      <c r="G358" t="s">
        <v>79</v>
      </c>
      <c r="H358" t="s">
        <v>50</v>
      </c>
      <c r="I358">
        <v>8</v>
      </c>
      <c r="J358">
        <v>14</v>
      </c>
      <c r="K358">
        <v>5</v>
      </c>
      <c r="L358">
        <v>9</v>
      </c>
      <c r="M358">
        <v>0</v>
      </c>
      <c r="N358">
        <v>14</v>
      </c>
      <c r="O358">
        <v>0</v>
      </c>
      <c r="P358">
        <v>15</v>
      </c>
      <c r="Q358">
        <v>7.75</v>
      </c>
      <c r="R358">
        <v>108.5</v>
      </c>
      <c r="S358">
        <v>12170</v>
      </c>
      <c r="T358">
        <v>11718</v>
      </c>
      <c r="U358">
        <v>378</v>
      </c>
      <c r="V358">
        <v>11340</v>
      </c>
      <c r="W358" s="3">
        <f t="shared" si="35"/>
        <v>104.51612903225806</v>
      </c>
      <c r="X358">
        <v>99.399922570654283</v>
      </c>
      <c r="Y358" s="3">
        <v>99.399922570654283</v>
      </c>
      <c r="Z358" s="4">
        <f t="shared" si="36"/>
        <v>1.0514709300499419</v>
      </c>
      <c r="AA358" s="5">
        <f t="shared" si="37"/>
        <v>122.43470301850049</v>
      </c>
      <c r="AB358" s="5">
        <f t="shared" si="38"/>
        <v>7.75</v>
      </c>
      <c r="AC358" s="5">
        <f t="shared" si="39"/>
        <v>16</v>
      </c>
      <c r="AD358" s="5">
        <f t="shared" si="40"/>
        <v>2</v>
      </c>
      <c r="AE358" s="5" t="str">
        <f t="shared" si="41"/>
        <v>Shortage</v>
      </c>
    </row>
    <row r="359" spans="1:31" x14ac:dyDescent="0.25">
      <c r="A359" t="s">
        <v>941</v>
      </c>
      <c r="B359" s="2">
        <v>46159</v>
      </c>
      <c r="C359" t="s">
        <v>942</v>
      </c>
      <c r="D359" t="s">
        <v>312</v>
      </c>
      <c r="E359" t="s">
        <v>313</v>
      </c>
      <c r="F359" t="s">
        <v>68</v>
      </c>
      <c r="G359" t="s">
        <v>36</v>
      </c>
      <c r="H359" t="s">
        <v>44</v>
      </c>
      <c r="I359">
        <v>8</v>
      </c>
      <c r="J359">
        <v>26</v>
      </c>
      <c r="K359">
        <v>11</v>
      </c>
      <c r="L359">
        <v>15</v>
      </c>
      <c r="M359">
        <v>2</v>
      </c>
      <c r="N359">
        <v>24</v>
      </c>
      <c r="O359">
        <v>3</v>
      </c>
      <c r="P359">
        <v>29</v>
      </c>
      <c r="Q359">
        <v>7.52</v>
      </c>
      <c r="R359">
        <v>180.48</v>
      </c>
      <c r="S359">
        <v>19638</v>
      </c>
      <c r="T359">
        <v>15296</v>
      </c>
      <c r="U359">
        <v>804</v>
      </c>
      <c r="V359">
        <v>14492</v>
      </c>
      <c r="W359" s="3">
        <f t="shared" si="35"/>
        <v>80.296985815602838</v>
      </c>
      <c r="X359">
        <v>120.8174989437542</v>
      </c>
      <c r="Y359" s="3">
        <v>120.8174989437542</v>
      </c>
      <c r="Z359" s="4">
        <f t="shared" si="36"/>
        <v>0.66461387230822067</v>
      </c>
      <c r="AA359" s="5">
        <f t="shared" si="37"/>
        <v>162.54267942711132</v>
      </c>
      <c r="AB359" s="5">
        <f t="shared" si="38"/>
        <v>7.5166666666666666</v>
      </c>
      <c r="AC359" s="5">
        <f t="shared" si="39"/>
        <v>22</v>
      </c>
      <c r="AD359" s="5">
        <f t="shared" si="40"/>
        <v>-2</v>
      </c>
      <c r="AE359" s="5" t="str">
        <f t="shared" si="41"/>
        <v>Surplus</v>
      </c>
    </row>
    <row r="360" spans="1:31" x14ac:dyDescent="0.25">
      <c r="A360" t="s">
        <v>943</v>
      </c>
      <c r="B360" s="2">
        <v>46159</v>
      </c>
      <c r="C360" t="s">
        <v>944</v>
      </c>
      <c r="D360" t="s">
        <v>342</v>
      </c>
      <c r="E360" t="s">
        <v>343</v>
      </c>
      <c r="F360" t="s">
        <v>55</v>
      </c>
      <c r="G360" t="s">
        <v>43</v>
      </c>
      <c r="H360" t="s">
        <v>37</v>
      </c>
      <c r="I360">
        <v>8</v>
      </c>
      <c r="J360">
        <v>19</v>
      </c>
      <c r="K360">
        <v>8</v>
      </c>
      <c r="L360">
        <v>11</v>
      </c>
      <c r="M360">
        <v>2</v>
      </c>
      <c r="N360">
        <v>17</v>
      </c>
      <c r="O360">
        <v>0</v>
      </c>
      <c r="P360">
        <v>33</v>
      </c>
      <c r="Q360">
        <v>7.45</v>
      </c>
      <c r="R360">
        <v>126.65</v>
      </c>
      <c r="S360">
        <v>15070</v>
      </c>
      <c r="T360">
        <v>14163</v>
      </c>
      <c r="U360">
        <v>253</v>
      </c>
      <c r="V360">
        <v>13910</v>
      </c>
      <c r="W360" s="3">
        <f t="shared" si="35"/>
        <v>109.83024082116067</v>
      </c>
      <c r="X360">
        <v>109.38855294136761</v>
      </c>
      <c r="Y360" s="3">
        <v>109.38855294136761</v>
      </c>
      <c r="Z360" s="4">
        <f t="shared" si="36"/>
        <v>1.0040377888537368</v>
      </c>
      <c r="AA360" s="5">
        <f t="shared" si="37"/>
        <v>137.76578622515956</v>
      </c>
      <c r="AB360" s="5">
        <f t="shared" si="38"/>
        <v>7.45</v>
      </c>
      <c r="AC360" s="5">
        <f t="shared" si="39"/>
        <v>19</v>
      </c>
      <c r="AD360" s="5">
        <f t="shared" si="40"/>
        <v>2</v>
      </c>
      <c r="AE360" s="5" t="str">
        <f t="shared" si="41"/>
        <v>Shortage</v>
      </c>
    </row>
    <row r="361" spans="1:31" x14ac:dyDescent="0.25">
      <c r="A361" t="s">
        <v>945</v>
      </c>
      <c r="B361" s="2">
        <v>46159</v>
      </c>
      <c r="C361" t="s">
        <v>946</v>
      </c>
      <c r="D361" t="s">
        <v>134</v>
      </c>
      <c r="E361" t="s">
        <v>135</v>
      </c>
      <c r="F361" t="s">
        <v>68</v>
      </c>
      <c r="G361" t="s">
        <v>43</v>
      </c>
      <c r="H361" t="s">
        <v>88</v>
      </c>
      <c r="I361">
        <v>10</v>
      </c>
      <c r="J361">
        <v>26</v>
      </c>
      <c r="K361">
        <v>10</v>
      </c>
      <c r="L361">
        <v>16</v>
      </c>
      <c r="M361">
        <v>1</v>
      </c>
      <c r="N361">
        <v>25</v>
      </c>
      <c r="O361">
        <v>2</v>
      </c>
      <c r="P361">
        <v>5</v>
      </c>
      <c r="Q361">
        <v>9.92</v>
      </c>
      <c r="R361">
        <v>248</v>
      </c>
      <c r="S361">
        <v>37192</v>
      </c>
      <c r="T361">
        <v>34154</v>
      </c>
      <c r="U361">
        <v>677</v>
      </c>
      <c r="V361">
        <v>33477</v>
      </c>
      <c r="W361" s="3">
        <f t="shared" si="35"/>
        <v>134.98790322580646</v>
      </c>
      <c r="X361">
        <v>128.22014138735929</v>
      </c>
      <c r="Y361" s="3">
        <v>128.22014138735929</v>
      </c>
      <c r="Z361" s="4">
        <f t="shared" si="36"/>
        <v>1.0527823613764504</v>
      </c>
      <c r="AA361" s="5">
        <f t="shared" si="37"/>
        <v>290.06363273022106</v>
      </c>
      <c r="AB361" s="5">
        <f t="shared" si="38"/>
        <v>9.9166666666666661</v>
      </c>
      <c r="AC361" s="5">
        <f t="shared" si="39"/>
        <v>30</v>
      </c>
      <c r="AD361" s="5">
        <f t="shared" si="40"/>
        <v>5</v>
      </c>
      <c r="AE361" s="5" t="str">
        <f t="shared" si="41"/>
        <v>Shortage</v>
      </c>
    </row>
    <row r="362" spans="1:31" x14ac:dyDescent="0.25">
      <c r="A362" t="s">
        <v>947</v>
      </c>
      <c r="B362" s="2">
        <v>46160</v>
      </c>
      <c r="C362" t="s">
        <v>948</v>
      </c>
      <c r="D362" t="s">
        <v>134</v>
      </c>
      <c r="E362" t="s">
        <v>135</v>
      </c>
      <c r="F362" t="s">
        <v>68</v>
      </c>
      <c r="G362" t="s">
        <v>43</v>
      </c>
      <c r="H362" t="s">
        <v>44</v>
      </c>
      <c r="I362">
        <v>10</v>
      </c>
      <c r="J362">
        <v>28</v>
      </c>
      <c r="K362">
        <v>10</v>
      </c>
      <c r="L362">
        <v>18</v>
      </c>
      <c r="M362">
        <v>0</v>
      </c>
      <c r="N362">
        <v>28</v>
      </c>
      <c r="O362">
        <v>3</v>
      </c>
      <c r="P362">
        <v>24</v>
      </c>
      <c r="Q362">
        <v>9.6</v>
      </c>
      <c r="R362">
        <v>268.8</v>
      </c>
      <c r="S362">
        <v>35994</v>
      </c>
      <c r="T362">
        <v>33853</v>
      </c>
      <c r="U362">
        <v>1021</v>
      </c>
      <c r="V362">
        <v>32832</v>
      </c>
      <c r="W362" s="3">
        <f t="shared" si="35"/>
        <v>122.14285714285714</v>
      </c>
      <c r="X362">
        <v>128.22014138735929</v>
      </c>
      <c r="Y362" s="3">
        <v>128.22014138735929</v>
      </c>
      <c r="Z362" s="4">
        <f t="shared" si="36"/>
        <v>0.95260273324654676</v>
      </c>
      <c r="AA362" s="5">
        <f t="shared" si="37"/>
        <v>280.72032685769994</v>
      </c>
      <c r="AB362" s="5">
        <f t="shared" si="38"/>
        <v>9.6</v>
      </c>
      <c r="AC362" s="5">
        <f t="shared" si="39"/>
        <v>30</v>
      </c>
      <c r="AD362" s="5">
        <f t="shared" si="40"/>
        <v>2</v>
      </c>
      <c r="AE362" s="5" t="str">
        <f t="shared" si="41"/>
        <v>Shortage</v>
      </c>
    </row>
    <row r="363" spans="1:31" x14ac:dyDescent="0.25">
      <c r="A363" t="s">
        <v>949</v>
      </c>
      <c r="B363" s="2">
        <v>46160</v>
      </c>
      <c r="C363" t="s">
        <v>950</v>
      </c>
      <c r="D363" t="s">
        <v>448</v>
      </c>
      <c r="E363" t="s">
        <v>449</v>
      </c>
      <c r="F363" t="s">
        <v>68</v>
      </c>
      <c r="G363" t="s">
        <v>43</v>
      </c>
      <c r="H363" t="s">
        <v>69</v>
      </c>
      <c r="I363">
        <v>10</v>
      </c>
      <c r="J363">
        <v>26</v>
      </c>
      <c r="K363">
        <v>10</v>
      </c>
      <c r="L363">
        <v>16</v>
      </c>
      <c r="M363">
        <v>1</v>
      </c>
      <c r="N363">
        <v>25</v>
      </c>
      <c r="O363">
        <v>0</v>
      </c>
      <c r="P363">
        <v>37</v>
      </c>
      <c r="Q363">
        <v>9.3800000000000008</v>
      </c>
      <c r="R363">
        <v>234.5</v>
      </c>
      <c r="S363">
        <v>34500</v>
      </c>
      <c r="T363">
        <v>30813</v>
      </c>
      <c r="U363">
        <v>317</v>
      </c>
      <c r="V363">
        <v>30496</v>
      </c>
      <c r="W363" s="3">
        <f t="shared" si="35"/>
        <v>130.04690831556502</v>
      </c>
      <c r="X363">
        <v>128.22014138735929</v>
      </c>
      <c r="Y363" s="3">
        <v>128.22014138735929</v>
      </c>
      <c r="Z363" s="4">
        <f t="shared" si="36"/>
        <v>1.014247113662798</v>
      </c>
      <c r="AA363" s="5">
        <f t="shared" si="37"/>
        <v>269.06849132051588</v>
      </c>
      <c r="AB363" s="5">
        <f t="shared" si="38"/>
        <v>9.3833333333333329</v>
      </c>
      <c r="AC363" s="5">
        <f t="shared" si="39"/>
        <v>29</v>
      </c>
      <c r="AD363" s="5">
        <f t="shared" si="40"/>
        <v>4</v>
      </c>
      <c r="AE363" s="5" t="str">
        <f t="shared" si="41"/>
        <v>Shortage</v>
      </c>
    </row>
    <row r="364" spans="1:31" x14ac:dyDescent="0.25">
      <c r="A364" t="s">
        <v>951</v>
      </c>
      <c r="B364" s="2">
        <v>46161</v>
      </c>
      <c r="C364" t="s">
        <v>952</v>
      </c>
      <c r="D364" t="s">
        <v>953</v>
      </c>
      <c r="E364" t="s">
        <v>954</v>
      </c>
      <c r="F364" t="s">
        <v>42</v>
      </c>
      <c r="G364" t="s">
        <v>36</v>
      </c>
      <c r="H364" t="s">
        <v>69</v>
      </c>
      <c r="I364">
        <v>8</v>
      </c>
      <c r="J364">
        <v>19</v>
      </c>
      <c r="K364">
        <v>8</v>
      </c>
      <c r="L364">
        <v>11</v>
      </c>
      <c r="M364">
        <v>2</v>
      </c>
      <c r="N364">
        <v>17</v>
      </c>
      <c r="O364">
        <v>0</v>
      </c>
      <c r="P364">
        <v>23</v>
      </c>
      <c r="Q364">
        <v>7.62</v>
      </c>
      <c r="R364">
        <v>129.54</v>
      </c>
      <c r="S364">
        <v>14581</v>
      </c>
      <c r="T364">
        <v>13424</v>
      </c>
      <c r="U364">
        <v>149</v>
      </c>
      <c r="V364">
        <v>13275</v>
      </c>
      <c r="W364" s="3">
        <f t="shared" si="35"/>
        <v>102.47799907364521</v>
      </c>
      <c r="X364">
        <v>112.98347693798689</v>
      </c>
      <c r="Y364" s="3">
        <v>112.98347693798689</v>
      </c>
      <c r="Z364" s="4">
        <f t="shared" si="36"/>
        <v>0.90701757328544763</v>
      </c>
      <c r="AA364" s="5">
        <f t="shared" si="37"/>
        <v>129.05426877598268</v>
      </c>
      <c r="AB364" s="5">
        <f t="shared" si="38"/>
        <v>7.6166666666666663</v>
      </c>
      <c r="AC364" s="5">
        <f t="shared" si="39"/>
        <v>17</v>
      </c>
      <c r="AD364" s="5">
        <f t="shared" si="40"/>
        <v>0</v>
      </c>
      <c r="AE364" s="5" t="str">
        <f t="shared" si="41"/>
        <v>Balanced</v>
      </c>
    </row>
    <row r="365" spans="1:31" x14ac:dyDescent="0.25">
      <c r="A365" t="s">
        <v>955</v>
      </c>
      <c r="B365" s="2">
        <v>46161</v>
      </c>
      <c r="C365" t="s">
        <v>956</v>
      </c>
      <c r="D365" t="s">
        <v>47</v>
      </c>
      <c r="E365" t="s">
        <v>48</v>
      </c>
      <c r="F365" t="s">
        <v>35</v>
      </c>
      <c r="G365" t="s">
        <v>79</v>
      </c>
      <c r="H365" t="s">
        <v>74</v>
      </c>
      <c r="I365">
        <v>8</v>
      </c>
      <c r="J365">
        <v>21</v>
      </c>
      <c r="K365">
        <v>6</v>
      </c>
      <c r="L365">
        <v>15</v>
      </c>
      <c r="M365">
        <v>1</v>
      </c>
      <c r="N365">
        <v>20</v>
      </c>
      <c r="O365">
        <v>1</v>
      </c>
      <c r="P365">
        <v>47</v>
      </c>
      <c r="Q365">
        <v>7.22</v>
      </c>
      <c r="R365">
        <v>144.4</v>
      </c>
      <c r="S365">
        <v>15080</v>
      </c>
      <c r="T365">
        <v>13206</v>
      </c>
      <c r="U365">
        <v>491</v>
      </c>
      <c r="V365">
        <v>12715</v>
      </c>
      <c r="W365" s="3">
        <f t="shared" si="35"/>
        <v>88.054016620498615</v>
      </c>
      <c r="X365">
        <v>100.6650131940286</v>
      </c>
      <c r="Y365" s="3">
        <v>100.6650131940286</v>
      </c>
      <c r="Z365" s="4">
        <f t="shared" si="36"/>
        <v>0.87472314190012879</v>
      </c>
      <c r="AA365" s="5">
        <f t="shared" si="37"/>
        <v>149.80378506416903</v>
      </c>
      <c r="AB365" s="5">
        <f t="shared" si="38"/>
        <v>7.2166666666666668</v>
      </c>
      <c r="AC365" s="5">
        <f t="shared" si="39"/>
        <v>21</v>
      </c>
      <c r="AD365" s="5">
        <f t="shared" si="40"/>
        <v>1</v>
      </c>
      <c r="AE365" s="5" t="str">
        <f t="shared" si="41"/>
        <v>Shortage</v>
      </c>
    </row>
    <row r="366" spans="1:31" x14ac:dyDescent="0.25">
      <c r="A366" t="s">
        <v>957</v>
      </c>
      <c r="B366" s="2">
        <v>46162</v>
      </c>
      <c r="C366" t="s">
        <v>958</v>
      </c>
      <c r="D366" t="s">
        <v>767</v>
      </c>
      <c r="E366" t="s">
        <v>768</v>
      </c>
      <c r="F366" t="s">
        <v>68</v>
      </c>
      <c r="G366" t="s">
        <v>79</v>
      </c>
      <c r="H366" t="s">
        <v>69</v>
      </c>
      <c r="I366">
        <v>10</v>
      </c>
      <c r="J366">
        <v>24</v>
      </c>
      <c r="K366">
        <v>8</v>
      </c>
      <c r="L366">
        <v>16</v>
      </c>
      <c r="M366">
        <v>2</v>
      </c>
      <c r="N366">
        <v>22</v>
      </c>
      <c r="O366">
        <v>2</v>
      </c>
      <c r="P366">
        <v>19</v>
      </c>
      <c r="Q366">
        <v>9.68</v>
      </c>
      <c r="R366">
        <v>212.96</v>
      </c>
      <c r="S366">
        <v>28639</v>
      </c>
      <c r="T366">
        <v>26225</v>
      </c>
      <c r="U366">
        <v>131</v>
      </c>
      <c r="V366">
        <v>26094</v>
      </c>
      <c r="W366" s="3">
        <f t="shared" si="35"/>
        <v>122.53005259203606</v>
      </c>
      <c r="X366">
        <v>114.6579540175248</v>
      </c>
      <c r="Y366" s="3">
        <v>114.6579540175248</v>
      </c>
      <c r="Z366" s="4">
        <f t="shared" si="36"/>
        <v>1.0686572391943088</v>
      </c>
      <c r="AA366" s="5">
        <f t="shared" si="37"/>
        <v>249.77769964064331</v>
      </c>
      <c r="AB366" s="5">
        <f t="shared" si="38"/>
        <v>9.6833333333333336</v>
      </c>
      <c r="AC366" s="5">
        <f t="shared" si="39"/>
        <v>26</v>
      </c>
      <c r="AD366" s="5">
        <f t="shared" si="40"/>
        <v>4</v>
      </c>
      <c r="AE366" s="5" t="str">
        <f t="shared" si="41"/>
        <v>Shortage</v>
      </c>
    </row>
    <row r="367" spans="1:31" x14ac:dyDescent="0.25">
      <c r="A367" t="s">
        <v>959</v>
      </c>
      <c r="B367" s="2">
        <v>46163</v>
      </c>
      <c r="C367" t="s">
        <v>960</v>
      </c>
      <c r="D367" t="s">
        <v>371</v>
      </c>
      <c r="E367" t="s">
        <v>372</v>
      </c>
      <c r="F367" t="s">
        <v>42</v>
      </c>
      <c r="G367" t="s">
        <v>36</v>
      </c>
      <c r="H367" t="s">
        <v>69</v>
      </c>
      <c r="I367">
        <v>8</v>
      </c>
      <c r="J367">
        <v>15</v>
      </c>
      <c r="K367">
        <v>7</v>
      </c>
      <c r="L367">
        <v>8</v>
      </c>
      <c r="M367">
        <v>0</v>
      </c>
      <c r="N367">
        <v>15</v>
      </c>
      <c r="O367">
        <v>0</v>
      </c>
      <c r="P367">
        <v>20</v>
      </c>
      <c r="Q367">
        <v>7.67</v>
      </c>
      <c r="R367">
        <v>115.05</v>
      </c>
      <c r="S367">
        <v>13548</v>
      </c>
      <c r="T367">
        <v>12010</v>
      </c>
      <c r="U367">
        <v>162</v>
      </c>
      <c r="V367">
        <v>11848</v>
      </c>
      <c r="W367" s="3">
        <f t="shared" si="35"/>
        <v>102.9813124728379</v>
      </c>
      <c r="X367">
        <v>112.98347693798689</v>
      </c>
      <c r="Y367" s="3">
        <v>112.98347693798689</v>
      </c>
      <c r="Z367" s="4">
        <f t="shared" si="36"/>
        <v>0.91147232554509838</v>
      </c>
      <c r="AA367" s="5">
        <f t="shared" si="37"/>
        <v>119.91133896008594</v>
      </c>
      <c r="AB367" s="5">
        <f t="shared" si="38"/>
        <v>7.666666666666667</v>
      </c>
      <c r="AC367" s="5">
        <f t="shared" si="39"/>
        <v>16</v>
      </c>
      <c r="AD367" s="5">
        <f t="shared" si="40"/>
        <v>1</v>
      </c>
      <c r="AE367" s="5" t="str">
        <f t="shared" si="41"/>
        <v>Shortage</v>
      </c>
    </row>
    <row r="368" spans="1:31" x14ac:dyDescent="0.25">
      <c r="A368" t="s">
        <v>961</v>
      </c>
      <c r="B368" s="2">
        <v>46163</v>
      </c>
      <c r="C368" t="s">
        <v>962</v>
      </c>
      <c r="D368" t="s">
        <v>152</v>
      </c>
      <c r="E368" t="s">
        <v>153</v>
      </c>
      <c r="F368" t="s">
        <v>55</v>
      </c>
      <c r="G368" t="s">
        <v>79</v>
      </c>
      <c r="H368" t="s">
        <v>50</v>
      </c>
      <c r="I368">
        <v>10</v>
      </c>
      <c r="J368">
        <v>12</v>
      </c>
      <c r="K368">
        <v>4</v>
      </c>
      <c r="L368">
        <v>8</v>
      </c>
      <c r="M368">
        <v>2</v>
      </c>
      <c r="N368">
        <v>10</v>
      </c>
      <c r="O368">
        <v>3</v>
      </c>
      <c r="P368">
        <v>60</v>
      </c>
      <c r="Q368">
        <v>9</v>
      </c>
      <c r="R368">
        <v>90</v>
      </c>
      <c r="S368">
        <v>10284</v>
      </c>
      <c r="T368">
        <v>8687</v>
      </c>
      <c r="U368">
        <v>156</v>
      </c>
      <c r="V368">
        <v>8531</v>
      </c>
      <c r="W368" s="3">
        <f t="shared" si="35"/>
        <v>94.788888888888891</v>
      </c>
      <c r="X368">
        <v>99.520305551967823</v>
      </c>
      <c r="Y368" s="3">
        <v>99.520305551967823</v>
      </c>
      <c r="Z368" s="4">
        <f t="shared" si="36"/>
        <v>0.9524577759600199</v>
      </c>
      <c r="AA368" s="5">
        <f t="shared" si="37"/>
        <v>103.33569559460274</v>
      </c>
      <c r="AB368" s="5">
        <f t="shared" si="38"/>
        <v>9</v>
      </c>
      <c r="AC368" s="5">
        <f t="shared" si="39"/>
        <v>12</v>
      </c>
      <c r="AD368" s="5">
        <f t="shared" si="40"/>
        <v>2</v>
      </c>
      <c r="AE368" s="5" t="str">
        <f t="shared" si="41"/>
        <v>Shortage</v>
      </c>
    </row>
    <row r="369" spans="1:31" x14ac:dyDescent="0.25">
      <c r="A369" t="s">
        <v>963</v>
      </c>
      <c r="B369" s="2">
        <v>46164</v>
      </c>
      <c r="C369" t="s">
        <v>964</v>
      </c>
      <c r="D369" t="s">
        <v>398</v>
      </c>
      <c r="E369" t="s">
        <v>399</v>
      </c>
      <c r="F369" t="s">
        <v>55</v>
      </c>
      <c r="G369" t="s">
        <v>43</v>
      </c>
      <c r="H369" t="s">
        <v>88</v>
      </c>
      <c r="I369">
        <v>10</v>
      </c>
      <c r="J369">
        <v>17</v>
      </c>
      <c r="K369">
        <v>5</v>
      </c>
      <c r="L369">
        <v>12</v>
      </c>
      <c r="M369">
        <v>1</v>
      </c>
      <c r="N369">
        <v>16</v>
      </c>
      <c r="O369">
        <v>2</v>
      </c>
      <c r="P369">
        <v>25</v>
      </c>
      <c r="Q369">
        <v>9.58</v>
      </c>
      <c r="R369">
        <v>153.28</v>
      </c>
      <c r="S369">
        <v>17765</v>
      </c>
      <c r="T369">
        <v>15633</v>
      </c>
      <c r="U369">
        <v>446</v>
      </c>
      <c r="V369">
        <v>15187</v>
      </c>
      <c r="W369" s="3">
        <f t="shared" si="35"/>
        <v>99.080114822546975</v>
      </c>
      <c r="X369">
        <v>109.38855294136761</v>
      </c>
      <c r="Y369" s="3">
        <v>109.38855294136761</v>
      </c>
      <c r="Z369" s="4">
        <f t="shared" si="36"/>
        <v>0.90576310005356808</v>
      </c>
      <c r="AA369" s="5">
        <f t="shared" si="37"/>
        <v>162.40273339681221</v>
      </c>
      <c r="AB369" s="5">
        <f t="shared" si="38"/>
        <v>9.5833333333333339</v>
      </c>
      <c r="AC369" s="5">
        <f t="shared" si="39"/>
        <v>17</v>
      </c>
      <c r="AD369" s="5">
        <f t="shared" si="40"/>
        <v>1</v>
      </c>
      <c r="AE369" s="5" t="str">
        <f t="shared" si="41"/>
        <v>Shortage</v>
      </c>
    </row>
    <row r="370" spans="1:31" x14ac:dyDescent="0.25">
      <c r="A370" t="s">
        <v>965</v>
      </c>
      <c r="B370" s="2">
        <v>46166</v>
      </c>
      <c r="C370" t="s">
        <v>966</v>
      </c>
      <c r="D370" t="s">
        <v>275</v>
      </c>
      <c r="E370" t="s">
        <v>276</v>
      </c>
      <c r="F370" t="s">
        <v>55</v>
      </c>
      <c r="G370" t="s">
        <v>43</v>
      </c>
      <c r="H370" t="s">
        <v>69</v>
      </c>
      <c r="I370">
        <v>8</v>
      </c>
      <c r="J370">
        <v>16</v>
      </c>
      <c r="K370">
        <v>7</v>
      </c>
      <c r="L370">
        <v>9</v>
      </c>
      <c r="M370">
        <v>1</v>
      </c>
      <c r="N370">
        <v>15</v>
      </c>
      <c r="O370">
        <v>0</v>
      </c>
      <c r="P370">
        <v>45</v>
      </c>
      <c r="Q370">
        <v>7.25</v>
      </c>
      <c r="R370">
        <v>108.75</v>
      </c>
      <c r="S370">
        <v>12876</v>
      </c>
      <c r="T370">
        <v>11807</v>
      </c>
      <c r="U370">
        <v>451</v>
      </c>
      <c r="V370">
        <v>11356</v>
      </c>
      <c r="W370" s="3">
        <f t="shared" si="35"/>
        <v>104.42298850574713</v>
      </c>
      <c r="X370">
        <v>109.38855294136761</v>
      </c>
      <c r="Y370" s="3">
        <v>109.38855294136761</v>
      </c>
      <c r="Z370" s="4">
        <f t="shared" si="36"/>
        <v>0.95460617859821195</v>
      </c>
      <c r="AA370" s="5">
        <f t="shared" si="37"/>
        <v>117.70884296185498</v>
      </c>
      <c r="AB370" s="5">
        <f t="shared" si="38"/>
        <v>7.25</v>
      </c>
      <c r="AC370" s="5">
        <f t="shared" si="39"/>
        <v>17</v>
      </c>
      <c r="AD370" s="5">
        <f t="shared" si="40"/>
        <v>2</v>
      </c>
      <c r="AE370" s="5" t="str">
        <f t="shared" si="41"/>
        <v>Shortage</v>
      </c>
    </row>
    <row r="371" spans="1:31" x14ac:dyDescent="0.25">
      <c r="A371" t="s">
        <v>967</v>
      </c>
      <c r="B371" s="2">
        <v>46167</v>
      </c>
      <c r="C371" t="s">
        <v>968</v>
      </c>
      <c r="D371" t="s">
        <v>303</v>
      </c>
      <c r="E371" t="s">
        <v>304</v>
      </c>
      <c r="F371" t="s">
        <v>49</v>
      </c>
      <c r="G371" t="s">
        <v>79</v>
      </c>
      <c r="H371" t="s">
        <v>74</v>
      </c>
      <c r="I371">
        <v>9</v>
      </c>
      <c r="J371">
        <v>20</v>
      </c>
      <c r="K371">
        <v>7</v>
      </c>
      <c r="L371">
        <v>13</v>
      </c>
      <c r="M371">
        <v>2</v>
      </c>
      <c r="N371">
        <v>18</v>
      </c>
      <c r="O371">
        <v>0</v>
      </c>
      <c r="P371">
        <v>55</v>
      </c>
      <c r="Q371">
        <v>8.08</v>
      </c>
      <c r="R371">
        <v>145.44</v>
      </c>
      <c r="S371">
        <v>20466</v>
      </c>
      <c r="T371">
        <v>18407</v>
      </c>
      <c r="U371">
        <v>367</v>
      </c>
      <c r="V371">
        <v>18040</v>
      </c>
      <c r="W371" s="3">
        <f t="shared" si="35"/>
        <v>124.03740374037405</v>
      </c>
      <c r="X371">
        <v>107.36289227751951</v>
      </c>
      <c r="Y371" s="3">
        <v>107.36289227751951</v>
      </c>
      <c r="Z371" s="4">
        <f t="shared" si="36"/>
        <v>1.1553098198933858</v>
      </c>
      <c r="AA371" s="5">
        <f t="shared" si="37"/>
        <v>190.62452180496382</v>
      </c>
      <c r="AB371" s="5">
        <f t="shared" si="38"/>
        <v>8.0833333333333339</v>
      </c>
      <c r="AC371" s="5">
        <f t="shared" si="39"/>
        <v>24</v>
      </c>
      <c r="AD371" s="5">
        <f t="shared" si="40"/>
        <v>6</v>
      </c>
      <c r="AE371" s="5" t="str">
        <f t="shared" si="41"/>
        <v>Shortage</v>
      </c>
    </row>
    <row r="372" spans="1:31" x14ac:dyDescent="0.25">
      <c r="A372" t="s">
        <v>969</v>
      </c>
      <c r="B372" s="2">
        <v>46168</v>
      </c>
      <c r="C372" t="s">
        <v>970</v>
      </c>
      <c r="D372" t="s">
        <v>667</v>
      </c>
      <c r="E372" t="s">
        <v>668</v>
      </c>
      <c r="F372" t="s">
        <v>55</v>
      </c>
      <c r="G372" t="s">
        <v>36</v>
      </c>
      <c r="H372" t="s">
        <v>74</v>
      </c>
      <c r="I372">
        <v>8</v>
      </c>
      <c r="J372">
        <v>15</v>
      </c>
      <c r="K372">
        <v>5</v>
      </c>
      <c r="L372">
        <v>10</v>
      </c>
      <c r="M372">
        <v>0</v>
      </c>
      <c r="N372">
        <v>15</v>
      </c>
      <c r="O372">
        <v>3</v>
      </c>
      <c r="P372">
        <v>28</v>
      </c>
      <c r="Q372">
        <v>7.53</v>
      </c>
      <c r="R372">
        <v>112.95</v>
      </c>
      <c r="S372">
        <v>13122</v>
      </c>
      <c r="T372">
        <v>10498</v>
      </c>
      <c r="U372">
        <v>367</v>
      </c>
      <c r="V372">
        <v>10131</v>
      </c>
      <c r="W372" s="3">
        <f t="shared" si="35"/>
        <v>89.694555112881801</v>
      </c>
      <c r="X372">
        <v>108.32817332835501</v>
      </c>
      <c r="Y372" s="3">
        <v>108.32817332835501</v>
      </c>
      <c r="Z372" s="4">
        <f t="shared" si="36"/>
        <v>0.82798917730300325</v>
      </c>
      <c r="AA372" s="5">
        <f t="shared" si="37"/>
        <v>121.13192345841304</v>
      </c>
      <c r="AB372" s="5">
        <f t="shared" si="38"/>
        <v>7.5333333333333332</v>
      </c>
      <c r="AC372" s="5">
        <f t="shared" si="39"/>
        <v>17</v>
      </c>
      <c r="AD372" s="5">
        <f t="shared" si="40"/>
        <v>2</v>
      </c>
      <c r="AE372" s="5" t="str">
        <f t="shared" si="41"/>
        <v>Shortage</v>
      </c>
    </row>
    <row r="373" spans="1:31" x14ac:dyDescent="0.25">
      <c r="A373" t="s">
        <v>971</v>
      </c>
      <c r="B373" s="2">
        <v>46168</v>
      </c>
      <c r="C373" t="s">
        <v>972</v>
      </c>
      <c r="D373" t="s">
        <v>332</v>
      </c>
      <c r="E373" t="s">
        <v>333</v>
      </c>
      <c r="F373" t="s">
        <v>35</v>
      </c>
      <c r="G373" t="s">
        <v>43</v>
      </c>
      <c r="H373" t="s">
        <v>88</v>
      </c>
      <c r="I373">
        <v>8</v>
      </c>
      <c r="J373">
        <v>25</v>
      </c>
      <c r="K373">
        <v>11</v>
      </c>
      <c r="L373">
        <v>14</v>
      </c>
      <c r="M373">
        <v>0</v>
      </c>
      <c r="N373">
        <v>25</v>
      </c>
      <c r="O373">
        <v>0</v>
      </c>
      <c r="P373">
        <v>14</v>
      </c>
      <c r="Q373">
        <v>7.77</v>
      </c>
      <c r="R373">
        <v>194.25</v>
      </c>
      <c r="S373">
        <v>23131</v>
      </c>
      <c r="T373">
        <v>21012</v>
      </c>
      <c r="U373">
        <v>587</v>
      </c>
      <c r="V373">
        <v>20425</v>
      </c>
      <c r="W373" s="3">
        <f t="shared" si="35"/>
        <v>105.14800514800515</v>
      </c>
      <c r="X373">
        <v>118.01656521145939</v>
      </c>
      <c r="Y373" s="3">
        <v>118.01656521145939</v>
      </c>
      <c r="Z373" s="4">
        <f t="shared" si="36"/>
        <v>0.89095971366056415</v>
      </c>
      <c r="AA373" s="5">
        <f t="shared" si="37"/>
        <v>195.99790892536484</v>
      </c>
      <c r="AB373" s="5">
        <f t="shared" si="38"/>
        <v>7.7666666666666666</v>
      </c>
      <c r="AC373" s="5">
        <f t="shared" si="39"/>
        <v>26</v>
      </c>
      <c r="AD373" s="5">
        <f t="shared" si="40"/>
        <v>1</v>
      </c>
      <c r="AE373" s="5" t="str">
        <f t="shared" si="41"/>
        <v>Shortage</v>
      </c>
    </row>
    <row r="374" spans="1:31" x14ac:dyDescent="0.25">
      <c r="A374" t="s">
        <v>973</v>
      </c>
      <c r="B374" s="2">
        <v>46168</v>
      </c>
      <c r="C374" t="s">
        <v>974</v>
      </c>
      <c r="D374" t="s">
        <v>363</v>
      </c>
      <c r="E374" t="s">
        <v>364</v>
      </c>
      <c r="F374" t="s">
        <v>49</v>
      </c>
      <c r="G374" t="s">
        <v>79</v>
      </c>
      <c r="H374" t="s">
        <v>37</v>
      </c>
      <c r="I374">
        <v>9</v>
      </c>
      <c r="J374">
        <v>22</v>
      </c>
      <c r="K374">
        <v>10</v>
      </c>
      <c r="L374">
        <v>12</v>
      </c>
      <c r="M374">
        <v>1</v>
      </c>
      <c r="N374">
        <v>21</v>
      </c>
      <c r="O374">
        <v>3</v>
      </c>
      <c r="P374">
        <v>37</v>
      </c>
      <c r="Q374">
        <v>8.3800000000000008</v>
      </c>
      <c r="R374">
        <v>175.98</v>
      </c>
      <c r="S374">
        <v>16119</v>
      </c>
      <c r="T374">
        <v>12963</v>
      </c>
      <c r="U374">
        <v>335</v>
      </c>
      <c r="V374">
        <v>12628</v>
      </c>
      <c r="W374" s="3">
        <f t="shared" si="35"/>
        <v>71.758154335719979</v>
      </c>
      <c r="X374">
        <v>107.36289227751951</v>
      </c>
      <c r="Y374" s="3">
        <v>107.36289227751951</v>
      </c>
      <c r="Z374" s="4">
        <f t="shared" si="36"/>
        <v>0.66837016788104231</v>
      </c>
      <c r="AA374" s="5">
        <f t="shared" si="37"/>
        <v>150.13567218675911</v>
      </c>
      <c r="AB374" s="5">
        <f t="shared" si="38"/>
        <v>8.3833333333333329</v>
      </c>
      <c r="AC374" s="5">
        <f t="shared" si="39"/>
        <v>18</v>
      </c>
      <c r="AD374" s="5">
        <f t="shared" si="40"/>
        <v>-3</v>
      </c>
      <c r="AE374" s="5" t="str">
        <f t="shared" si="41"/>
        <v>Surplus</v>
      </c>
    </row>
    <row r="375" spans="1:31" x14ac:dyDescent="0.25">
      <c r="A375" t="s">
        <v>975</v>
      </c>
      <c r="B375" s="2">
        <v>46169</v>
      </c>
      <c r="C375" t="s">
        <v>976</v>
      </c>
      <c r="D375" t="s">
        <v>257</v>
      </c>
      <c r="E375" t="s">
        <v>258</v>
      </c>
      <c r="F375" t="s">
        <v>55</v>
      </c>
      <c r="G375" t="s">
        <v>43</v>
      </c>
      <c r="H375" t="s">
        <v>44</v>
      </c>
      <c r="I375">
        <v>10</v>
      </c>
      <c r="J375">
        <v>21</v>
      </c>
      <c r="K375">
        <v>9</v>
      </c>
      <c r="L375">
        <v>12</v>
      </c>
      <c r="M375">
        <v>1</v>
      </c>
      <c r="N375">
        <v>20</v>
      </c>
      <c r="O375">
        <v>0</v>
      </c>
      <c r="P375">
        <v>36</v>
      </c>
      <c r="Q375">
        <v>9.4</v>
      </c>
      <c r="R375">
        <v>188</v>
      </c>
      <c r="S375">
        <v>24432</v>
      </c>
      <c r="T375">
        <v>19463</v>
      </c>
      <c r="U375">
        <v>543</v>
      </c>
      <c r="V375">
        <v>18920</v>
      </c>
      <c r="W375" s="3">
        <f t="shared" si="35"/>
        <v>100.63829787234043</v>
      </c>
      <c r="X375">
        <v>109.38855294136761</v>
      </c>
      <c r="Y375" s="3">
        <v>109.38855294136761</v>
      </c>
      <c r="Z375" s="4">
        <f t="shared" si="36"/>
        <v>0.92000758000960736</v>
      </c>
      <c r="AA375" s="5">
        <f t="shared" si="37"/>
        <v>223.35060975800258</v>
      </c>
      <c r="AB375" s="5">
        <f t="shared" si="38"/>
        <v>9.4</v>
      </c>
      <c r="AC375" s="5">
        <f t="shared" si="39"/>
        <v>24</v>
      </c>
      <c r="AD375" s="5">
        <f t="shared" si="40"/>
        <v>4</v>
      </c>
      <c r="AE375" s="5" t="str">
        <f t="shared" si="41"/>
        <v>Shortage</v>
      </c>
    </row>
    <row r="376" spans="1:31" x14ac:dyDescent="0.25">
      <c r="A376" t="s">
        <v>977</v>
      </c>
      <c r="B376" s="2">
        <v>46170</v>
      </c>
      <c r="C376" t="s">
        <v>978</v>
      </c>
      <c r="D376" t="s">
        <v>312</v>
      </c>
      <c r="E376" t="s">
        <v>313</v>
      </c>
      <c r="F376" t="s">
        <v>49</v>
      </c>
      <c r="G376" t="s">
        <v>36</v>
      </c>
      <c r="H376" t="s">
        <v>74</v>
      </c>
      <c r="I376">
        <v>9</v>
      </c>
      <c r="J376">
        <v>19</v>
      </c>
      <c r="K376">
        <v>8</v>
      </c>
      <c r="L376">
        <v>11</v>
      </c>
      <c r="M376">
        <v>1</v>
      </c>
      <c r="N376">
        <v>18</v>
      </c>
      <c r="O376">
        <v>0</v>
      </c>
      <c r="P376">
        <v>33</v>
      </c>
      <c r="Q376">
        <v>8.4499999999999993</v>
      </c>
      <c r="R376">
        <v>152.1</v>
      </c>
      <c r="S376">
        <v>16974</v>
      </c>
      <c r="T376">
        <v>14744</v>
      </c>
      <c r="U376">
        <v>146</v>
      </c>
      <c r="V376">
        <v>14598</v>
      </c>
      <c r="W376" s="3">
        <f t="shared" si="35"/>
        <v>95.976331360946745</v>
      </c>
      <c r="X376">
        <v>118.4084783141387</v>
      </c>
      <c r="Y376" s="3">
        <v>118.4084783141387</v>
      </c>
      <c r="Z376" s="4">
        <f t="shared" si="36"/>
        <v>0.8105528651953513</v>
      </c>
      <c r="AA376" s="5">
        <f t="shared" si="37"/>
        <v>143.35122148067668</v>
      </c>
      <c r="AB376" s="5">
        <f t="shared" si="38"/>
        <v>8.4499999999999993</v>
      </c>
      <c r="AC376" s="5">
        <f t="shared" si="39"/>
        <v>17</v>
      </c>
      <c r="AD376" s="5">
        <f t="shared" si="40"/>
        <v>-1</v>
      </c>
      <c r="AE376" s="5" t="str">
        <f t="shared" si="41"/>
        <v>Surplus</v>
      </c>
    </row>
    <row r="377" spans="1:31" x14ac:dyDescent="0.25">
      <c r="A377" t="s">
        <v>979</v>
      </c>
      <c r="B377" s="2">
        <v>46172</v>
      </c>
      <c r="C377" t="s">
        <v>980</v>
      </c>
      <c r="D377" t="s">
        <v>371</v>
      </c>
      <c r="E377" t="s">
        <v>372</v>
      </c>
      <c r="F377" t="s">
        <v>49</v>
      </c>
      <c r="G377" t="s">
        <v>36</v>
      </c>
      <c r="H377" t="s">
        <v>44</v>
      </c>
      <c r="I377">
        <v>9</v>
      </c>
      <c r="J377">
        <v>22</v>
      </c>
      <c r="K377">
        <v>8</v>
      </c>
      <c r="L377">
        <v>14</v>
      </c>
      <c r="M377">
        <v>0</v>
      </c>
      <c r="N377">
        <v>22</v>
      </c>
      <c r="O377">
        <v>0</v>
      </c>
      <c r="P377">
        <v>52</v>
      </c>
      <c r="Q377">
        <v>8.1300000000000008</v>
      </c>
      <c r="R377">
        <v>178.86</v>
      </c>
      <c r="S377">
        <v>25603</v>
      </c>
      <c r="T377">
        <v>21143</v>
      </c>
      <c r="U377">
        <v>701</v>
      </c>
      <c r="V377">
        <v>20442</v>
      </c>
      <c r="W377" s="3">
        <f t="shared" si="35"/>
        <v>114.29050654142904</v>
      </c>
      <c r="X377">
        <v>118.4084783141387</v>
      </c>
      <c r="Y377" s="3">
        <v>118.4084783141387</v>
      </c>
      <c r="Z377" s="4">
        <f t="shared" si="36"/>
        <v>0.96522232333917302</v>
      </c>
      <c r="AA377" s="5">
        <f t="shared" si="37"/>
        <v>216.22607067101245</v>
      </c>
      <c r="AB377" s="5">
        <f t="shared" si="38"/>
        <v>8.1333333333333329</v>
      </c>
      <c r="AC377" s="5">
        <f t="shared" si="39"/>
        <v>27</v>
      </c>
      <c r="AD377" s="5">
        <f t="shared" si="40"/>
        <v>5</v>
      </c>
      <c r="AE377" s="5" t="str">
        <f t="shared" si="41"/>
        <v>Shortage</v>
      </c>
    </row>
    <row r="378" spans="1:31" x14ac:dyDescent="0.25">
      <c r="A378" t="s">
        <v>981</v>
      </c>
      <c r="B378" s="2">
        <v>46173</v>
      </c>
      <c r="C378" t="s">
        <v>982</v>
      </c>
      <c r="D378" t="s">
        <v>178</v>
      </c>
      <c r="E378" t="s">
        <v>179</v>
      </c>
      <c r="F378" t="s">
        <v>55</v>
      </c>
      <c r="G378" t="s">
        <v>36</v>
      </c>
      <c r="H378" t="s">
        <v>50</v>
      </c>
      <c r="I378">
        <v>8</v>
      </c>
      <c r="J378">
        <v>15</v>
      </c>
      <c r="K378">
        <v>7</v>
      </c>
      <c r="L378">
        <v>8</v>
      </c>
      <c r="M378">
        <v>0</v>
      </c>
      <c r="N378">
        <v>15</v>
      </c>
      <c r="O378">
        <v>0</v>
      </c>
      <c r="P378">
        <v>23</v>
      </c>
      <c r="Q378">
        <v>7.62</v>
      </c>
      <c r="R378">
        <v>114.3</v>
      </c>
      <c r="S378">
        <v>14188</v>
      </c>
      <c r="T378">
        <v>13169</v>
      </c>
      <c r="U378">
        <v>66</v>
      </c>
      <c r="V378">
        <v>13103</v>
      </c>
      <c r="W378" s="3">
        <f t="shared" si="35"/>
        <v>114.63692038495188</v>
      </c>
      <c r="X378">
        <v>108.32817332835501</v>
      </c>
      <c r="Y378" s="3">
        <v>108.32817332835501</v>
      </c>
      <c r="Z378" s="4">
        <f t="shared" si="36"/>
        <v>1.0582373621077716</v>
      </c>
      <c r="AA378" s="5">
        <f t="shared" si="37"/>
        <v>130.97239216795947</v>
      </c>
      <c r="AB378" s="5">
        <f t="shared" si="38"/>
        <v>7.6166666666666663</v>
      </c>
      <c r="AC378" s="5">
        <f t="shared" si="39"/>
        <v>18</v>
      </c>
      <c r="AD378" s="5">
        <f t="shared" si="40"/>
        <v>3</v>
      </c>
      <c r="AE378" s="5" t="str">
        <f t="shared" si="41"/>
        <v>Shortage</v>
      </c>
    </row>
    <row r="379" spans="1:31" x14ac:dyDescent="0.25">
      <c r="A379" t="s">
        <v>983</v>
      </c>
      <c r="B379" s="2">
        <v>46174</v>
      </c>
      <c r="C379" t="s">
        <v>984</v>
      </c>
      <c r="D379" t="s">
        <v>228</v>
      </c>
      <c r="E379" t="s">
        <v>229</v>
      </c>
      <c r="F379" t="s">
        <v>68</v>
      </c>
      <c r="G379" t="s">
        <v>43</v>
      </c>
      <c r="H379" t="s">
        <v>74</v>
      </c>
      <c r="I379">
        <v>9</v>
      </c>
      <c r="J379">
        <v>26</v>
      </c>
      <c r="K379">
        <v>10</v>
      </c>
      <c r="L379">
        <v>16</v>
      </c>
      <c r="M379">
        <v>0</v>
      </c>
      <c r="N379">
        <v>26</v>
      </c>
      <c r="O379">
        <v>2</v>
      </c>
      <c r="P379">
        <v>27</v>
      </c>
      <c r="Q379">
        <v>8.5500000000000007</v>
      </c>
      <c r="R379">
        <v>222.3</v>
      </c>
      <c r="S379">
        <v>30371</v>
      </c>
      <c r="T379">
        <v>25341</v>
      </c>
      <c r="U379">
        <v>523</v>
      </c>
      <c r="V379">
        <v>24818</v>
      </c>
      <c r="W379" s="3">
        <f t="shared" si="35"/>
        <v>111.64192532613585</v>
      </c>
      <c r="X379">
        <v>128.22014138735929</v>
      </c>
      <c r="Y379" s="3">
        <v>128.22014138735929</v>
      </c>
      <c r="Z379" s="4">
        <f t="shared" si="36"/>
        <v>0.87070505552524824</v>
      </c>
      <c r="AA379" s="5">
        <f t="shared" si="37"/>
        <v>236.86606231580834</v>
      </c>
      <c r="AB379" s="5">
        <f t="shared" si="38"/>
        <v>8.5500000000000007</v>
      </c>
      <c r="AC379" s="5">
        <f t="shared" si="39"/>
        <v>28</v>
      </c>
      <c r="AD379" s="5">
        <f t="shared" si="40"/>
        <v>2</v>
      </c>
      <c r="AE379" s="5" t="str">
        <f t="shared" si="41"/>
        <v>Shortage</v>
      </c>
    </row>
    <row r="380" spans="1:31" x14ac:dyDescent="0.25">
      <c r="A380" t="s">
        <v>985</v>
      </c>
      <c r="B380" s="2">
        <v>46177</v>
      </c>
      <c r="C380" t="s">
        <v>986</v>
      </c>
      <c r="D380" t="s">
        <v>346</v>
      </c>
      <c r="E380" t="s">
        <v>347</v>
      </c>
      <c r="F380" t="s">
        <v>35</v>
      </c>
      <c r="G380" t="s">
        <v>43</v>
      </c>
      <c r="H380" t="s">
        <v>44</v>
      </c>
      <c r="I380">
        <v>9</v>
      </c>
      <c r="J380">
        <v>20</v>
      </c>
      <c r="K380">
        <v>6</v>
      </c>
      <c r="L380">
        <v>14</v>
      </c>
      <c r="M380">
        <v>2</v>
      </c>
      <c r="N380">
        <v>18</v>
      </c>
      <c r="O380">
        <v>0</v>
      </c>
      <c r="P380">
        <v>12</v>
      </c>
      <c r="Q380">
        <v>8.8000000000000007</v>
      </c>
      <c r="R380">
        <v>158.4</v>
      </c>
      <c r="S380">
        <v>19572</v>
      </c>
      <c r="T380">
        <v>18925</v>
      </c>
      <c r="U380">
        <v>783</v>
      </c>
      <c r="V380">
        <v>18142</v>
      </c>
      <c r="W380" s="3">
        <f t="shared" si="35"/>
        <v>114.53282828282828</v>
      </c>
      <c r="X380">
        <v>118.01656521145939</v>
      </c>
      <c r="Y380" s="3">
        <v>118.01656521145939</v>
      </c>
      <c r="Z380" s="4">
        <f t="shared" si="36"/>
        <v>0.97048094966677745</v>
      </c>
      <c r="AA380" s="5">
        <f t="shared" si="37"/>
        <v>165.84112548040468</v>
      </c>
      <c r="AB380" s="5">
        <f t="shared" si="38"/>
        <v>8.8000000000000007</v>
      </c>
      <c r="AC380" s="5">
        <f t="shared" si="39"/>
        <v>19</v>
      </c>
      <c r="AD380" s="5">
        <f t="shared" si="40"/>
        <v>1</v>
      </c>
      <c r="AE380" s="5" t="str">
        <f t="shared" si="41"/>
        <v>Shortage</v>
      </c>
    </row>
    <row r="381" spans="1:31" x14ac:dyDescent="0.25">
      <c r="A381" t="s">
        <v>987</v>
      </c>
      <c r="B381" s="2">
        <v>46178</v>
      </c>
      <c r="C381" t="s">
        <v>988</v>
      </c>
      <c r="D381" t="s">
        <v>395</v>
      </c>
      <c r="E381" t="s">
        <v>143</v>
      </c>
      <c r="F381" t="s">
        <v>49</v>
      </c>
      <c r="G381" t="s">
        <v>36</v>
      </c>
      <c r="H381" t="s">
        <v>37</v>
      </c>
      <c r="I381">
        <v>8</v>
      </c>
      <c r="J381">
        <v>22</v>
      </c>
      <c r="K381">
        <v>11</v>
      </c>
      <c r="L381">
        <v>11</v>
      </c>
      <c r="M381">
        <v>1</v>
      </c>
      <c r="N381">
        <v>21</v>
      </c>
      <c r="O381">
        <v>3</v>
      </c>
      <c r="P381">
        <v>59</v>
      </c>
      <c r="Q381">
        <v>7.02</v>
      </c>
      <c r="R381">
        <v>147.41999999999999</v>
      </c>
      <c r="S381">
        <v>21122</v>
      </c>
      <c r="T381">
        <v>19377</v>
      </c>
      <c r="U381">
        <v>356</v>
      </c>
      <c r="V381">
        <v>19021</v>
      </c>
      <c r="W381" s="3">
        <f t="shared" si="35"/>
        <v>129.02591235924569</v>
      </c>
      <c r="X381">
        <v>118.4084783141387</v>
      </c>
      <c r="Y381" s="3">
        <v>118.4084783141387</v>
      </c>
      <c r="Z381" s="4">
        <f t="shared" si="36"/>
        <v>1.0896678531493231</v>
      </c>
      <c r="AA381" s="5">
        <f t="shared" si="37"/>
        <v>178.38249676651662</v>
      </c>
      <c r="AB381" s="5">
        <f t="shared" si="38"/>
        <v>7.0166666666666666</v>
      </c>
      <c r="AC381" s="5">
        <f t="shared" si="39"/>
        <v>26</v>
      </c>
      <c r="AD381" s="5">
        <f t="shared" si="40"/>
        <v>5</v>
      </c>
      <c r="AE381" s="5" t="str">
        <f t="shared" si="41"/>
        <v>Shortage</v>
      </c>
    </row>
    <row r="382" spans="1:31" x14ac:dyDescent="0.25">
      <c r="A382" t="s">
        <v>989</v>
      </c>
      <c r="B382" s="2">
        <v>46179</v>
      </c>
      <c r="C382" t="s">
        <v>990</v>
      </c>
      <c r="D382" t="s">
        <v>408</v>
      </c>
      <c r="E382" t="s">
        <v>409</v>
      </c>
      <c r="F382" t="s">
        <v>42</v>
      </c>
      <c r="G382" t="s">
        <v>36</v>
      </c>
      <c r="H382" t="s">
        <v>69</v>
      </c>
      <c r="I382">
        <v>9</v>
      </c>
      <c r="J382">
        <v>17</v>
      </c>
      <c r="K382">
        <v>8</v>
      </c>
      <c r="L382">
        <v>9</v>
      </c>
      <c r="M382">
        <v>0</v>
      </c>
      <c r="N382">
        <v>17</v>
      </c>
      <c r="O382">
        <v>0</v>
      </c>
      <c r="P382">
        <v>20</v>
      </c>
      <c r="Q382">
        <v>8.67</v>
      </c>
      <c r="R382">
        <v>147.38999999999999</v>
      </c>
      <c r="S382">
        <v>18537</v>
      </c>
      <c r="T382">
        <v>16758</v>
      </c>
      <c r="U382">
        <v>325</v>
      </c>
      <c r="V382">
        <v>16433</v>
      </c>
      <c r="W382" s="3">
        <f t="shared" si="35"/>
        <v>111.4933170500034</v>
      </c>
      <c r="X382">
        <v>112.98347693798689</v>
      </c>
      <c r="Y382" s="3">
        <v>112.98347693798689</v>
      </c>
      <c r="Z382" s="4">
        <f t="shared" si="36"/>
        <v>0.9868108158080372</v>
      </c>
      <c r="AA382" s="5">
        <f t="shared" si="37"/>
        <v>164.06823813870042</v>
      </c>
      <c r="AB382" s="5">
        <f t="shared" si="38"/>
        <v>8.6666666666666661</v>
      </c>
      <c r="AC382" s="5">
        <f t="shared" si="39"/>
        <v>19</v>
      </c>
      <c r="AD382" s="5">
        <f t="shared" si="40"/>
        <v>2</v>
      </c>
      <c r="AE382" s="5" t="str">
        <f t="shared" si="41"/>
        <v>Shortage</v>
      </c>
    </row>
    <row r="383" spans="1:31" x14ac:dyDescent="0.25">
      <c r="A383" t="s">
        <v>991</v>
      </c>
      <c r="B383" s="2">
        <v>46179</v>
      </c>
      <c r="C383" t="s">
        <v>992</v>
      </c>
      <c r="D383" t="s">
        <v>257</v>
      </c>
      <c r="E383" t="s">
        <v>258</v>
      </c>
      <c r="F383" t="s">
        <v>55</v>
      </c>
      <c r="G383" t="s">
        <v>43</v>
      </c>
      <c r="H383" t="s">
        <v>44</v>
      </c>
      <c r="I383">
        <v>8</v>
      </c>
      <c r="J383">
        <v>19</v>
      </c>
      <c r="K383">
        <v>6</v>
      </c>
      <c r="L383">
        <v>13</v>
      </c>
      <c r="M383">
        <v>1</v>
      </c>
      <c r="N383">
        <v>18</v>
      </c>
      <c r="O383">
        <v>2</v>
      </c>
      <c r="P383">
        <v>55</v>
      </c>
      <c r="Q383">
        <v>7.08</v>
      </c>
      <c r="R383">
        <v>127.44</v>
      </c>
      <c r="S383">
        <v>17129</v>
      </c>
      <c r="T383">
        <v>13481</v>
      </c>
      <c r="U383">
        <v>348</v>
      </c>
      <c r="V383">
        <v>13133</v>
      </c>
      <c r="W383" s="3">
        <f t="shared" si="35"/>
        <v>103.05241682360327</v>
      </c>
      <c r="X383">
        <v>109.38855294136761</v>
      </c>
      <c r="Y383" s="3">
        <v>109.38855294136761</v>
      </c>
      <c r="Z383" s="4">
        <f t="shared" si="36"/>
        <v>0.9420767900535213</v>
      </c>
      <c r="AA383" s="5">
        <f t="shared" si="37"/>
        <v>156.58859669878953</v>
      </c>
      <c r="AB383" s="5">
        <f t="shared" si="38"/>
        <v>7.083333333333333</v>
      </c>
      <c r="AC383" s="5">
        <f t="shared" si="39"/>
        <v>23</v>
      </c>
      <c r="AD383" s="5">
        <f t="shared" si="40"/>
        <v>5</v>
      </c>
      <c r="AE383" s="5" t="str">
        <f t="shared" si="41"/>
        <v>Shortage</v>
      </c>
    </row>
    <row r="384" spans="1:31" x14ac:dyDescent="0.25">
      <c r="A384" t="s">
        <v>993</v>
      </c>
      <c r="B384" s="2">
        <v>46180</v>
      </c>
      <c r="C384" t="s">
        <v>994</v>
      </c>
      <c r="D384" t="s">
        <v>186</v>
      </c>
      <c r="E384" t="s">
        <v>187</v>
      </c>
      <c r="F384" t="s">
        <v>49</v>
      </c>
      <c r="G384" t="s">
        <v>43</v>
      </c>
      <c r="H384" t="s">
        <v>50</v>
      </c>
      <c r="I384">
        <v>9</v>
      </c>
      <c r="J384">
        <v>22</v>
      </c>
      <c r="K384">
        <v>7</v>
      </c>
      <c r="L384">
        <v>15</v>
      </c>
      <c r="M384">
        <v>2</v>
      </c>
      <c r="N384">
        <v>20</v>
      </c>
      <c r="O384">
        <v>2</v>
      </c>
      <c r="P384">
        <v>31</v>
      </c>
      <c r="Q384">
        <v>8.48</v>
      </c>
      <c r="R384">
        <v>169.6</v>
      </c>
      <c r="S384">
        <v>18181</v>
      </c>
      <c r="T384">
        <v>15223</v>
      </c>
      <c r="U384">
        <v>262</v>
      </c>
      <c r="V384">
        <v>14961</v>
      </c>
      <c r="W384" s="3">
        <f t="shared" si="35"/>
        <v>88.213443396226424</v>
      </c>
      <c r="X384">
        <v>124.78240035826239</v>
      </c>
      <c r="Y384" s="3">
        <v>124.78240035826239</v>
      </c>
      <c r="Z384" s="4">
        <f t="shared" si="36"/>
        <v>0.70693818313285417</v>
      </c>
      <c r="AA384" s="5">
        <f t="shared" si="37"/>
        <v>145.70163699208047</v>
      </c>
      <c r="AB384" s="5">
        <f t="shared" si="38"/>
        <v>8.4833333333333325</v>
      </c>
      <c r="AC384" s="5">
        <f t="shared" si="39"/>
        <v>18</v>
      </c>
      <c r="AD384" s="5">
        <f t="shared" si="40"/>
        <v>-2</v>
      </c>
      <c r="AE384" s="5" t="str">
        <f t="shared" si="41"/>
        <v>Surplus</v>
      </c>
    </row>
    <row r="385" spans="1:31" x14ac:dyDescent="0.25">
      <c r="A385" t="s">
        <v>995</v>
      </c>
      <c r="B385" s="2">
        <v>46182</v>
      </c>
      <c r="C385" t="s">
        <v>996</v>
      </c>
      <c r="D385" t="s">
        <v>287</v>
      </c>
      <c r="E385" t="s">
        <v>288</v>
      </c>
      <c r="F385" t="s">
        <v>42</v>
      </c>
      <c r="G385" t="s">
        <v>36</v>
      </c>
      <c r="H385" t="s">
        <v>44</v>
      </c>
      <c r="I385">
        <v>8</v>
      </c>
      <c r="J385">
        <v>16</v>
      </c>
      <c r="K385">
        <v>8</v>
      </c>
      <c r="L385">
        <v>8</v>
      </c>
      <c r="M385">
        <v>1</v>
      </c>
      <c r="N385">
        <v>15</v>
      </c>
      <c r="O385">
        <v>2</v>
      </c>
      <c r="P385">
        <v>59</v>
      </c>
      <c r="Q385">
        <v>7.02</v>
      </c>
      <c r="R385">
        <v>105.3</v>
      </c>
      <c r="S385">
        <v>15125</v>
      </c>
      <c r="T385">
        <v>13153</v>
      </c>
      <c r="U385">
        <v>410</v>
      </c>
      <c r="V385">
        <v>12743</v>
      </c>
      <c r="W385" s="3">
        <f t="shared" si="35"/>
        <v>121.01614434947768</v>
      </c>
      <c r="X385">
        <v>112.98347693798689</v>
      </c>
      <c r="Y385" s="3">
        <v>112.98347693798689</v>
      </c>
      <c r="Z385" s="4">
        <f t="shared" si="36"/>
        <v>1.0710959480907079</v>
      </c>
      <c r="AA385" s="5">
        <f t="shared" si="37"/>
        <v>133.86913210594184</v>
      </c>
      <c r="AB385" s="5">
        <f t="shared" si="38"/>
        <v>7.0166666666666666</v>
      </c>
      <c r="AC385" s="5">
        <f t="shared" si="39"/>
        <v>20</v>
      </c>
      <c r="AD385" s="5">
        <f t="shared" si="40"/>
        <v>5</v>
      </c>
      <c r="AE385" s="5" t="str">
        <f t="shared" si="41"/>
        <v>Shortage</v>
      </c>
    </row>
    <row r="386" spans="1:31" x14ac:dyDescent="0.25">
      <c r="A386" t="s">
        <v>997</v>
      </c>
      <c r="B386" s="2">
        <v>46182</v>
      </c>
      <c r="C386" t="s">
        <v>998</v>
      </c>
      <c r="D386" t="s">
        <v>999</v>
      </c>
      <c r="E386" t="s">
        <v>1000</v>
      </c>
      <c r="F386" t="s">
        <v>49</v>
      </c>
      <c r="G386" t="s">
        <v>36</v>
      </c>
      <c r="H386" t="s">
        <v>69</v>
      </c>
      <c r="I386">
        <v>10</v>
      </c>
      <c r="J386">
        <v>19</v>
      </c>
      <c r="K386">
        <v>6</v>
      </c>
      <c r="L386">
        <v>13</v>
      </c>
      <c r="M386">
        <v>1</v>
      </c>
      <c r="N386">
        <v>18</v>
      </c>
      <c r="O386">
        <v>2</v>
      </c>
      <c r="P386">
        <v>50</v>
      </c>
      <c r="Q386">
        <v>9.17</v>
      </c>
      <c r="R386">
        <v>165.06</v>
      </c>
      <c r="S386">
        <v>24532</v>
      </c>
      <c r="T386">
        <v>18752</v>
      </c>
      <c r="U386">
        <v>601</v>
      </c>
      <c r="V386">
        <v>18151</v>
      </c>
      <c r="W386" s="3">
        <f t="shared" si="35"/>
        <v>109.96607294317218</v>
      </c>
      <c r="X386">
        <v>118.4084783141387</v>
      </c>
      <c r="Y386" s="3">
        <v>118.4084783141387</v>
      </c>
      <c r="Z386" s="4">
        <f t="shared" si="36"/>
        <v>0.92870100611741035</v>
      </c>
      <c r="AA386" s="5">
        <f t="shared" si="37"/>
        <v>207.18111024884885</v>
      </c>
      <c r="AB386" s="5">
        <f t="shared" si="38"/>
        <v>9.1666666666666661</v>
      </c>
      <c r="AC386" s="5">
        <f t="shared" si="39"/>
        <v>23</v>
      </c>
      <c r="AD386" s="5">
        <f t="shared" si="40"/>
        <v>5</v>
      </c>
      <c r="AE386" s="5" t="str">
        <f t="shared" si="41"/>
        <v>Shortage</v>
      </c>
    </row>
    <row r="387" spans="1:31" x14ac:dyDescent="0.25">
      <c r="A387" t="s">
        <v>1001</v>
      </c>
      <c r="B387" s="2">
        <v>46182</v>
      </c>
      <c r="C387" t="s">
        <v>1002</v>
      </c>
      <c r="D387" t="s">
        <v>66</v>
      </c>
      <c r="E387" t="s">
        <v>67</v>
      </c>
      <c r="F387" t="s">
        <v>55</v>
      </c>
      <c r="G387" t="s">
        <v>36</v>
      </c>
      <c r="H387" t="s">
        <v>88</v>
      </c>
      <c r="I387">
        <v>9</v>
      </c>
      <c r="J387">
        <v>19</v>
      </c>
      <c r="K387">
        <v>8</v>
      </c>
      <c r="L387">
        <v>11</v>
      </c>
      <c r="M387">
        <v>1</v>
      </c>
      <c r="N387">
        <v>18</v>
      </c>
      <c r="O387">
        <v>0</v>
      </c>
      <c r="P387">
        <v>52</v>
      </c>
      <c r="Q387">
        <v>8.1300000000000008</v>
      </c>
      <c r="R387">
        <v>146.34</v>
      </c>
      <c r="S387">
        <v>13873</v>
      </c>
      <c r="T387">
        <v>10665</v>
      </c>
      <c r="U387">
        <v>92</v>
      </c>
      <c r="V387">
        <v>10573</v>
      </c>
      <c r="W387" s="3">
        <f t="shared" ref="W387:W450" si="42">IFERROR(V387/R387,0)</f>
        <v>72.249555828891616</v>
      </c>
      <c r="X387">
        <v>108.32817332835501</v>
      </c>
      <c r="Y387" s="3">
        <v>108.32817332835501</v>
      </c>
      <c r="Z387" s="4">
        <f t="shared" ref="Z387:Z450" si="43">IFERROR(W387/Y387,0)</f>
        <v>0.6669507442897149</v>
      </c>
      <c r="AA387" s="5">
        <f t="shared" ref="AA387:AA450" si="44">IFERROR(S387/Y387,0)</f>
        <v>128.06456135791527</v>
      </c>
      <c r="AB387" s="5">
        <f t="shared" ref="AB387:AB450" si="45">MAX(0.1,I387-(P387/60))</f>
        <v>8.1333333333333329</v>
      </c>
      <c r="AC387" s="5">
        <f t="shared" ref="AC387:AC450" si="46">IFERROR(CEILING(AA387/AB387,1),0)</f>
        <v>16</v>
      </c>
      <c r="AD387" s="5">
        <f t="shared" ref="AD387:AD450" si="47">AC387-N387</f>
        <v>-2</v>
      </c>
      <c r="AE387" s="5" t="str">
        <f t="shared" ref="AE387:AE450" si="48">IF(AD387&gt;0,"Shortage",IF(AD387&lt;0,"Surplus","Balanced"))</f>
        <v>Surplus</v>
      </c>
    </row>
    <row r="388" spans="1:31" x14ac:dyDescent="0.25">
      <c r="A388" t="s">
        <v>1003</v>
      </c>
      <c r="B388" s="2">
        <v>46183</v>
      </c>
      <c r="C388" t="s">
        <v>1004</v>
      </c>
      <c r="D388" t="s">
        <v>166</v>
      </c>
      <c r="E388" t="s">
        <v>167</v>
      </c>
      <c r="F388" t="s">
        <v>42</v>
      </c>
      <c r="G388" t="s">
        <v>43</v>
      </c>
      <c r="H388" t="s">
        <v>44</v>
      </c>
      <c r="I388">
        <v>8</v>
      </c>
      <c r="J388">
        <v>19</v>
      </c>
      <c r="K388">
        <v>6</v>
      </c>
      <c r="L388">
        <v>13</v>
      </c>
      <c r="M388">
        <v>0</v>
      </c>
      <c r="N388">
        <v>19</v>
      </c>
      <c r="O388">
        <v>1</v>
      </c>
      <c r="P388">
        <v>17</v>
      </c>
      <c r="Q388">
        <v>7.72</v>
      </c>
      <c r="R388">
        <v>146.68</v>
      </c>
      <c r="S388">
        <v>19098</v>
      </c>
      <c r="T388">
        <v>18812</v>
      </c>
      <c r="U388">
        <v>337</v>
      </c>
      <c r="V388">
        <v>18475</v>
      </c>
      <c r="W388" s="3">
        <f t="shared" si="42"/>
        <v>125.95445868557404</v>
      </c>
      <c r="X388">
        <v>115.1855592022217</v>
      </c>
      <c r="Y388" s="3">
        <v>115.1855592022217</v>
      </c>
      <c r="Z388" s="4">
        <f t="shared" si="43"/>
        <v>1.0934917498160188</v>
      </c>
      <c r="AA388" s="5">
        <f t="shared" si="44"/>
        <v>165.80203397260269</v>
      </c>
      <c r="AB388" s="5">
        <f t="shared" si="45"/>
        <v>7.7166666666666668</v>
      </c>
      <c r="AC388" s="5">
        <f t="shared" si="46"/>
        <v>22</v>
      </c>
      <c r="AD388" s="5">
        <f t="shared" si="47"/>
        <v>3</v>
      </c>
      <c r="AE388" s="5" t="str">
        <f t="shared" si="48"/>
        <v>Shortage</v>
      </c>
    </row>
    <row r="389" spans="1:31" x14ac:dyDescent="0.25">
      <c r="A389" t="s">
        <v>1005</v>
      </c>
      <c r="B389" s="2">
        <v>46184</v>
      </c>
      <c r="C389" t="s">
        <v>1006</v>
      </c>
      <c r="D389" t="s">
        <v>516</v>
      </c>
      <c r="E389" t="s">
        <v>517</v>
      </c>
      <c r="F389" t="s">
        <v>55</v>
      </c>
      <c r="G389" t="s">
        <v>43</v>
      </c>
      <c r="H389" t="s">
        <v>44</v>
      </c>
      <c r="I389">
        <v>8</v>
      </c>
      <c r="J389">
        <v>18</v>
      </c>
      <c r="K389">
        <v>8</v>
      </c>
      <c r="L389">
        <v>10</v>
      </c>
      <c r="M389">
        <v>0</v>
      </c>
      <c r="N389">
        <v>18</v>
      </c>
      <c r="O389">
        <v>1</v>
      </c>
      <c r="P389">
        <v>21</v>
      </c>
      <c r="Q389">
        <v>7.65</v>
      </c>
      <c r="R389">
        <v>137.69999999999999</v>
      </c>
      <c r="S389">
        <v>17737</v>
      </c>
      <c r="T389">
        <v>16778</v>
      </c>
      <c r="U389">
        <v>493</v>
      </c>
      <c r="V389">
        <v>16285</v>
      </c>
      <c r="W389" s="3">
        <f t="shared" si="42"/>
        <v>118.26434277414671</v>
      </c>
      <c r="X389">
        <v>109.38855294136761</v>
      </c>
      <c r="Y389" s="3">
        <v>109.38855294136761</v>
      </c>
      <c r="Z389" s="4">
        <f t="shared" si="43"/>
        <v>1.0811400241992097</v>
      </c>
      <c r="AA389" s="5">
        <f t="shared" si="44"/>
        <v>162.14676511450932</v>
      </c>
      <c r="AB389" s="5">
        <f t="shared" si="45"/>
        <v>7.65</v>
      </c>
      <c r="AC389" s="5">
        <f t="shared" si="46"/>
        <v>22</v>
      </c>
      <c r="AD389" s="5">
        <f t="shared" si="47"/>
        <v>4</v>
      </c>
      <c r="AE389" s="5" t="str">
        <f t="shared" si="48"/>
        <v>Shortage</v>
      </c>
    </row>
    <row r="390" spans="1:31" x14ac:dyDescent="0.25">
      <c r="A390" t="s">
        <v>1007</v>
      </c>
      <c r="B390" s="2">
        <v>46185</v>
      </c>
      <c r="C390" t="s">
        <v>1008</v>
      </c>
      <c r="D390" t="s">
        <v>287</v>
      </c>
      <c r="E390" t="s">
        <v>288</v>
      </c>
      <c r="F390" t="s">
        <v>49</v>
      </c>
      <c r="G390" t="s">
        <v>36</v>
      </c>
      <c r="H390" t="s">
        <v>88</v>
      </c>
      <c r="I390">
        <v>8</v>
      </c>
      <c r="J390">
        <v>20</v>
      </c>
      <c r="K390">
        <v>7</v>
      </c>
      <c r="L390">
        <v>13</v>
      </c>
      <c r="M390">
        <v>2</v>
      </c>
      <c r="N390">
        <v>18</v>
      </c>
      <c r="O390">
        <v>0</v>
      </c>
      <c r="P390">
        <v>31</v>
      </c>
      <c r="Q390">
        <v>7.48</v>
      </c>
      <c r="R390">
        <v>134.63999999999999</v>
      </c>
      <c r="S390">
        <v>17755</v>
      </c>
      <c r="T390">
        <v>18121</v>
      </c>
      <c r="U390">
        <v>328</v>
      </c>
      <c r="V390">
        <v>17793</v>
      </c>
      <c r="W390" s="3">
        <f t="shared" si="42"/>
        <v>132.1524064171123</v>
      </c>
      <c r="X390">
        <v>118.4084783141387</v>
      </c>
      <c r="Y390" s="3">
        <v>118.4084783141387</v>
      </c>
      <c r="Z390" s="4">
        <f t="shared" si="43"/>
        <v>1.1160721622189151</v>
      </c>
      <c r="AA390" s="5">
        <f t="shared" si="44"/>
        <v>149.94703295566245</v>
      </c>
      <c r="AB390" s="5">
        <f t="shared" si="45"/>
        <v>7.4833333333333334</v>
      </c>
      <c r="AC390" s="5">
        <f t="shared" si="46"/>
        <v>21</v>
      </c>
      <c r="AD390" s="5">
        <f t="shared" si="47"/>
        <v>3</v>
      </c>
      <c r="AE390" s="5" t="str">
        <f t="shared" si="48"/>
        <v>Shortage</v>
      </c>
    </row>
    <row r="391" spans="1:31" x14ac:dyDescent="0.25">
      <c r="A391" t="s">
        <v>1009</v>
      </c>
      <c r="B391" s="2">
        <v>46185</v>
      </c>
      <c r="C391" t="s">
        <v>1010</v>
      </c>
      <c r="D391" t="s">
        <v>224</v>
      </c>
      <c r="E391" t="s">
        <v>225</v>
      </c>
      <c r="F391" t="s">
        <v>42</v>
      </c>
      <c r="G391" t="s">
        <v>43</v>
      </c>
      <c r="H391" t="s">
        <v>50</v>
      </c>
      <c r="I391">
        <v>10</v>
      </c>
      <c r="J391">
        <v>21</v>
      </c>
      <c r="K391">
        <v>8</v>
      </c>
      <c r="L391">
        <v>13</v>
      </c>
      <c r="M391">
        <v>0</v>
      </c>
      <c r="N391">
        <v>21</v>
      </c>
      <c r="O391">
        <v>3</v>
      </c>
      <c r="P391">
        <v>22</v>
      </c>
      <c r="Q391">
        <v>9.6300000000000008</v>
      </c>
      <c r="R391">
        <v>202.23</v>
      </c>
      <c r="S391">
        <v>24807</v>
      </c>
      <c r="T391">
        <v>24626</v>
      </c>
      <c r="U391">
        <v>672</v>
      </c>
      <c r="V391">
        <v>23954</v>
      </c>
      <c r="W391" s="3">
        <f t="shared" si="42"/>
        <v>118.44929041190724</v>
      </c>
      <c r="X391">
        <v>115.1855592022217</v>
      </c>
      <c r="Y391" s="3">
        <v>115.1855592022217</v>
      </c>
      <c r="Z391" s="4">
        <f t="shared" si="43"/>
        <v>1.0283345519376754</v>
      </c>
      <c r="AA391" s="5">
        <f t="shared" si="44"/>
        <v>215.36553863013691</v>
      </c>
      <c r="AB391" s="5">
        <f t="shared" si="45"/>
        <v>9.6333333333333329</v>
      </c>
      <c r="AC391" s="5">
        <f t="shared" si="46"/>
        <v>23</v>
      </c>
      <c r="AD391" s="5">
        <f t="shared" si="47"/>
        <v>2</v>
      </c>
      <c r="AE391" s="5" t="str">
        <f t="shared" si="48"/>
        <v>Shortage</v>
      </c>
    </row>
    <row r="392" spans="1:31" x14ac:dyDescent="0.25">
      <c r="A392" t="s">
        <v>1011</v>
      </c>
      <c r="B392" s="2">
        <v>46185</v>
      </c>
      <c r="C392" t="s">
        <v>1012</v>
      </c>
      <c r="D392" t="s">
        <v>182</v>
      </c>
      <c r="E392" t="s">
        <v>183</v>
      </c>
      <c r="F392" t="s">
        <v>35</v>
      </c>
      <c r="G392" t="s">
        <v>79</v>
      </c>
      <c r="H392" t="s">
        <v>37</v>
      </c>
      <c r="I392">
        <v>9</v>
      </c>
      <c r="J392">
        <v>21</v>
      </c>
      <c r="K392">
        <v>9</v>
      </c>
      <c r="L392">
        <v>12</v>
      </c>
      <c r="M392">
        <v>0</v>
      </c>
      <c r="N392">
        <v>21</v>
      </c>
      <c r="O392">
        <v>0</v>
      </c>
      <c r="P392">
        <v>13</v>
      </c>
      <c r="Q392">
        <v>8.7799999999999994</v>
      </c>
      <c r="R392">
        <v>184.38</v>
      </c>
      <c r="S392">
        <v>19964</v>
      </c>
      <c r="T392">
        <v>18532</v>
      </c>
      <c r="U392">
        <v>332</v>
      </c>
      <c r="V392">
        <v>18200</v>
      </c>
      <c r="W392" s="3">
        <f t="shared" si="42"/>
        <v>98.709187547456338</v>
      </c>
      <c r="X392">
        <v>100.6650131940286</v>
      </c>
      <c r="Y392" s="3">
        <v>100.6650131940286</v>
      </c>
      <c r="Z392" s="4">
        <f t="shared" si="43"/>
        <v>0.98057094928500654</v>
      </c>
      <c r="AA392" s="5">
        <f t="shared" si="44"/>
        <v>198.32113826399672</v>
      </c>
      <c r="AB392" s="5">
        <f t="shared" si="45"/>
        <v>8.7833333333333332</v>
      </c>
      <c r="AC392" s="5">
        <f t="shared" si="46"/>
        <v>23</v>
      </c>
      <c r="AD392" s="5">
        <f t="shared" si="47"/>
        <v>2</v>
      </c>
      <c r="AE392" s="5" t="str">
        <f t="shared" si="48"/>
        <v>Shortage</v>
      </c>
    </row>
    <row r="393" spans="1:31" x14ac:dyDescent="0.25">
      <c r="A393" t="s">
        <v>1013</v>
      </c>
      <c r="B393" s="2">
        <v>46186</v>
      </c>
      <c r="C393" t="s">
        <v>1014</v>
      </c>
      <c r="D393" t="s">
        <v>193</v>
      </c>
      <c r="E393" t="s">
        <v>135</v>
      </c>
      <c r="F393" t="s">
        <v>68</v>
      </c>
      <c r="G393" t="s">
        <v>43</v>
      </c>
      <c r="H393" t="s">
        <v>44</v>
      </c>
      <c r="I393">
        <v>8</v>
      </c>
      <c r="J393">
        <v>28</v>
      </c>
      <c r="K393">
        <v>9</v>
      </c>
      <c r="L393">
        <v>19</v>
      </c>
      <c r="M393">
        <v>0</v>
      </c>
      <c r="N393">
        <v>28</v>
      </c>
      <c r="O393">
        <v>2</v>
      </c>
      <c r="P393">
        <v>19</v>
      </c>
      <c r="Q393">
        <v>7.68</v>
      </c>
      <c r="R393">
        <v>215.04</v>
      </c>
      <c r="S393">
        <v>29805</v>
      </c>
      <c r="T393">
        <v>27411</v>
      </c>
      <c r="U393">
        <v>818</v>
      </c>
      <c r="V393">
        <v>26593</v>
      </c>
      <c r="W393" s="3">
        <f t="shared" si="42"/>
        <v>123.66536458333334</v>
      </c>
      <c r="X393">
        <v>128.22014138735929</v>
      </c>
      <c r="Y393" s="3">
        <v>128.22014138735929</v>
      </c>
      <c r="Z393" s="4">
        <f t="shared" si="43"/>
        <v>0.96447690078374082</v>
      </c>
      <c r="AA393" s="5">
        <f t="shared" si="44"/>
        <v>232.45177924081088</v>
      </c>
      <c r="AB393" s="5">
        <f t="shared" si="45"/>
        <v>7.6833333333333336</v>
      </c>
      <c r="AC393" s="5">
        <f t="shared" si="46"/>
        <v>31</v>
      </c>
      <c r="AD393" s="5">
        <f t="shared" si="47"/>
        <v>3</v>
      </c>
      <c r="AE393" s="5" t="str">
        <f t="shared" si="48"/>
        <v>Shortage</v>
      </c>
    </row>
    <row r="394" spans="1:31" x14ac:dyDescent="0.25">
      <c r="A394" t="s">
        <v>1015</v>
      </c>
      <c r="B394" s="2">
        <v>46187</v>
      </c>
      <c r="C394" t="s">
        <v>1016</v>
      </c>
      <c r="D394" t="s">
        <v>77</v>
      </c>
      <c r="E394" t="s">
        <v>78</v>
      </c>
      <c r="F394" t="s">
        <v>68</v>
      </c>
      <c r="G394" t="s">
        <v>43</v>
      </c>
      <c r="H394" t="s">
        <v>88</v>
      </c>
      <c r="I394">
        <v>8</v>
      </c>
      <c r="J394">
        <v>26</v>
      </c>
      <c r="K394">
        <v>12</v>
      </c>
      <c r="L394">
        <v>14</v>
      </c>
      <c r="M394">
        <v>0</v>
      </c>
      <c r="N394">
        <v>26</v>
      </c>
      <c r="O394">
        <v>0</v>
      </c>
      <c r="P394">
        <v>52</v>
      </c>
      <c r="Q394">
        <v>7.13</v>
      </c>
      <c r="R394">
        <v>185.38</v>
      </c>
      <c r="S394">
        <v>28907</v>
      </c>
      <c r="T394">
        <v>22256</v>
      </c>
      <c r="U394">
        <v>515</v>
      </c>
      <c r="V394">
        <v>21741</v>
      </c>
      <c r="W394" s="3">
        <f t="shared" si="42"/>
        <v>117.27802351925774</v>
      </c>
      <c r="X394">
        <v>128.22014138735929</v>
      </c>
      <c r="Y394" s="3">
        <v>128.22014138735929</v>
      </c>
      <c r="Z394" s="4">
        <f t="shared" si="43"/>
        <v>0.91466147401097553</v>
      </c>
      <c r="AA394" s="5">
        <f t="shared" si="44"/>
        <v>225.44819937977252</v>
      </c>
      <c r="AB394" s="5">
        <f t="shared" si="45"/>
        <v>7.1333333333333329</v>
      </c>
      <c r="AC394" s="5">
        <f t="shared" si="46"/>
        <v>32</v>
      </c>
      <c r="AD394" s="5">
        <f t="shared" si="47"/>
        <v>6</v>
      </c>
      <c r="AE394" s="5" t="str">
        <f t="shared" si="48"/>
        <v>Shortage</v>
      </c>
    </row>
    <row r="395" spans="1:31" x14ac:dyDescent="0.25">
      <c r="A395" t="s">
        <v>1017</v>
      </c>
      <c r="B395" s="2">
        <v>46188</v>
      </c>
      <c r="C395" t="s">
        <v>1018</v>
      </c>
      <c r="D395" t="s">
        <v>33</v>
      </c>
      <c r="E395" t="s">
        <v>34</v>
      </c>
      <c r="F395" t="s">
        <v>35</v>
      </c>
      <c r="G395" t="s">
        <v>36</v>
      </c>
      <c r="H395" t="s">
        <v>74</v>
      </c>
      <c r="I395">
        <v>9</v>
      </c>
      <c r="J395">
        <v>17</v>
      </c>
      <c r="K395">
        <v>8</v>
      </c>
      <c r="L395">
        <v>9</v>
      </c>
      <c r="M395">
        <v>1</v>
      </c>
      <c r="N395">
        <v>16</v>
      </c>
      <c r="O395">
        <v>0</v>
      </c>
      <c r="P395">
        <v>43</v>
      </c>
      <c r="Q395">
        <v>8.2799999999999994</v>
      </c>
      <c r="R395">
        <v>132.47999999999999</v>
      </c>
      <c r="S395">
        <v>17407</v>
      </c>
      <c r="T395">
        <v>15858</v>
      </c>
      <c r="U395">
        <v>547</v>
      </c>
      <c r="V395">
        <v>15311</v>
      </c>
      <c r="W395" s="3">
        <f t="shared" si="42"/>
        <v>115.5721618357488</v>
      </c>
      <c r="X395">
        <v>114.1563708384419</v>
      </c>
      <c r="Y395" s="3">
        <v>114.1563708384419</v>
      </c>
      <c r="Z395" s="4">
        <f t="shared" si="43"/>
        <v>1.0124022074888013</v>
      </c>
      <c r="AA395" s="5">
        <f t="shared" si="44"/>
        <v>152.483824355585</v>
      </c>
      <c r="AB395" s="5">
        <f t="shared" si="45"/>
        <v>8.2833333333333332</v>
      </c>
      <c r="AC395" s="5">
        <f t="shared" si="46"/>
        <v>19</v>
      </c>
      <c r="AD395" s="5">
        <f t="shared" si="47"/>
        <v>3</v>
      </c>
      <c r="AE395" s="5" t="str">
        <f t="shared" si="48"/>
        <v>Shortage</v>
      </c>
    </row>
    <row r="396" spans="1:31" x14ac:dyDescent="0.25">
      <c r="A396" t="s">
        <v>1019</v>
      </c>
      <c r="B396" s="2">
        <v>46191</v>
      </c>
      <c r="C396" t="s">
        <v>1020</v>
      </c>
      <c r="D396" t="s">
        <v>123</v>
      </c>
      <c r="E396" t="s">
        <v>116</v>
      </c>
      <c r="F396" t="s">
        <v>68</v>
      </c>
      <c r="G396" t="s">
        <v>36</v>
      </c>
      <c r="H396" t="s">
        <v>88</v>
      </c>
      <c r="I396">
        <v>8</v>
      </c>
      <c r="J396">
        <v>23</v>
      </c>
      <c r="K396">
        <v>11</v>
      </c>
      <c r="L396">
        <v>12</v>
      </c>
      <c r="M396">
        <v>0</v>
      </c>
      <c r="N396">
        <v>23</v>
      </c>
      <c r="O396">
        <v>3</v>
      </c>
      <c r="P396">
        <v>35</v>
      </c>
      <c r="Q396">
        <v>7.42</v>
      </c>
      <c r="R396">
        <v>170.66</v>
      </c>
      <c r="S396">
        <v>25514</v>
      </c>
      <c r="T396">
        <v>20612</v>
      </c>
      <c r="U396">
        <v>381</v>
      </c>
      <c r="V396">
        <v>20231</v>
      </c>
      <c r="W396" s="3">
        <f t="shared" si="42"/>
        <v>118.54564631430915</v>
      </c>
      <c r="X396">
        <v>120.8174989437542</v>
      </c>
      <c r="Y396" s="3">
        <v>120.8174989437542</v>
      </c>
      <c r="Z396" s="4">
        <f t="shared" si="43"/>
        <v>0.98119599686049874</v>
      </c>
      <c r="AA396" s="5">
        <f t="shared" si="44"/>
        <v>211.1780182759608</v>
      </c>
      <c r="AB396" s="5">
        <f t="shared" si="45"/>
        <v>7.416666666666667</v>
      </c>
      <c r="AC396" s="5">
        <f t="shared" si="46"/>
        <v>29</v>
      </c>
      <c r="AD396" s="5">
        <f t="shared" si="47"/>
        <v>6</v>
      </c>
      <c r="AE396" s="5" t="str">
        <f t="shared" si="48"/>
        <v>Shortage</v>
      </c>
    </row>
    <row r="397" spans="1:31" x14ac:dyDescent="0.25">
      <c r="A397" t="s">
        <v>1021</v>
      </c>
      <c r="B397" s="2">
        <v>46191</v>
      </c>
      <c r="C397" t="s">
        <v>1022</v>
      </c>
      <c r="D397" t="s">
        <v>309</v>
      </c>
      <c r="E397" t="s">
        <v>135</v>
      </c>
      <c r="F397" t="s">
        <v>55</v>
      </c>
      <c r="G397" t="s">
        <v>43</v>
      </c>
      <c r="H397" t="s">
        <v>69</v>
      </c>
      <c r="I397">
        <v>9</v>
      </c>
      <c r="J397">
        <v>18</v>
      </c>
      <c r="K397">
        <v>6</v>
      </c>
      <c r="L397">
        <v>12</v>
      </c>
      <c r="M397">
        <v>0</v>
      </c>
      <c r="N397">
        <v>18</v>
      </c>
      <c r="O397">
        <v>3</v>
      </c>
      <c r="P397">
        <v>30</v>
      </c>
      <c r="Q397">
        <v>8.5</v>
      </c>
      <c r="R397">
        <v>153</v>
      </c>
      <c r="S397">
        <v>17698</v>
      </c>
      <c r="T397">
        <v>18681</v>
      </c>
      <c r="U397">
        <v>350</v>
      </c>
      <c r="V397">
        <v>18331</v>
      </c>
      <c r="W397" s="3">
        <f t="shared" si="42"/>
        <v>119.81045751633987</v>
      </c>
      <c r="X397">
        <v>109.38855294136761</v>
      </c>
      <c r="Y397" s="3">
        <v>109.38855294136761</v>
      </c>
      <c r="Z397" s="4">
        <f t="shared" si="43"/>
        <v>1.0952741790135794</v>
      </c>
      <c r="AA397" s="5">
        <f t="shared" si="44"/>
        <v>161.79023786415885</v>
      </c>
      <c r="AB397" s="5">
        <f t="shared" si="45"/>
        <v>8.5</v>
      </c>
      <c r="AC397" s="5">
        <f t="shared" si="46"/>
        <v>20</v>
      </c>
      <c r="AD397" s="5">
        <f t="shared" si="47"/>
        <v>2</v>
      </c>
      <c r="AE397" s="5" t="str">
        <f t="shared" si="48"/>
        <v>Shortage</v>
      </c>
    </row>
    <row r="398" spans="1:31" x14ac:dyDescent="0.25">
      <c r="A398" t="s">
        <v>1023</v>
      </c>
      <c r="B398" s="2">
        <v>46192</v>
      </c>
      <c r="C398" t="s">
        <v>1024</v>
      </c>
      <c r="D398" t="s">
        <v>152</v>
      </c>
      <c r="E398" t="s">
        <v>153</v>
      </c>
      <c r="F398" t="s">
        <v>49</v>
      </c>
      <c r="G398" t="s">
        <v>36</v>
      </c>
      <c r="H398" t="s">
        <v>88</v>
      </c>
      <c r="I398">
        <v>8</v>
      </c>
      <c r="J398">
        <v>24</v>
      </c>
      <c r="K398">
        <v>9</v>
      </c>
      <c r="L398">
        <v>15</v>
      </c>
      <c r="M398">
        <v>1</v>
      </c>
      <c r="N398">
        <v>23</v>
      </c>
      <c r="O398">
        <v>0</v>
      </c>
      <c r="P398">
        <v>43</v>
      </c>
      <c r="Q398">
        <v>7.28</v>
      </c>
      <c r="R398">
        <v>167.44</v>
      </c>
      <c r="S398">
        <v>23625</v>
      </c>
      <c r="T398">
        <v>17538</v>
      </c>
      <c r="U398">
        <v>409</v>
      </c>
      <c r="V398">
        <v>17129</v>
      </c>
      <c r="W398" s="3">
        <f t="shared" si="42"/>
        <v>102.29933110367894</v>
      </c>
      <c r="X398">
        <v>118.4084783141387</v>
      </c>
      <c r="Y398" s="3">
        <v>118.4084783141387</v>
      </c>
      <c r="Z398" s="4">
        <f t="shared" si="43"/>
        <v>0.86395275541231042</v>
      </c>
      <c r="AA398" s="5">
        <f t="shared" si="44"/>
        <v>199.52118578302031</v>
      </c>
      <c r="AB398" s="5">
        <f t="shared" si="45"/>
        <v>7.2833333333333332</v>
      </c>
      <c r="AC398" s="5">
        <f t="shared" si="46"/>
        <v>28</v>
      </c>
      <c r="AD398" s="5">
        <f t="shared" si="47"/>
        <v>5</v>
      </c>
      <c r="AE398" s="5" t="str">
        <f t="shared" si="48"/>
        <v>Shortage</v>
      </c>
    </row>
    <row r="399" spans="1:31" x14ac:dyDescent="0.25">
      <c r="A399" t="s">
        <v>1025</v>
      </c>
      <c r="B399" s="2">
        <v>46192</v>
      </c>
      <c r="C399" t="s">
        <v>1026</v>
      </c>
      <c r="D399" t="s">
        <v>115</v>
      </c>
      <c r="E399" t="s">
        <v>116</v>
      </c>
      <c r="F399" t="s">
        <v>68</v>
      </c>
      <c r="G399" t="s">
        <v>36</v>
      </c>
      <c r="H399" t="s">
        <v>50</v>
      </c>
      <c r="I399">
        <v>8</v>
      </c>
      <c r="J399">
        <v>26</v>
      </c>
      <c r="K399">
        <v>9</v>
      </c>
      <c r="L399">
        <v>17</v>
      </c>
      <c r="M399">
        <v>0</v>
      </c>
      <c r="N399">
        <v>26</v>
      </c>
      <c r="O399">
        <v>2</v>
      </c>
      <c r="P399">
        <v>39</v>
      </c>
      <c r="Q399">
        <v>7.35</v>
      </c>
      <c r="R399">
        <v>191.1</v>
      </c>
      <c r="S399">
        <v>26160</v>
      </c>
      <c r="T399">
        <v>20003</v>
      </c>
      <c r="U399">
        <v>566</v>
      </c>
      <c r="V399">
        <v>19437</v>
      </c>
      <c r="W399" s="3">
        <f t="shared" si="42"/>
        <v>101.71114599686028</v>
      </c>
      <c r="X399">
        <v>120.8174989437542</v>
      </c>
      <c r="Y399" s="3">
        <v>120.8174989437542</v>
      </c>
      <c r="Z399" s="4">
        <f t="shared" si="43"/>
        <v>0.84185773489824711</v>
      </c>
      <c r="AA399" s="5">
        <f t="shared" si="44"/>
        <v>216.52492584851981</v>
      </c>
      <c r="AB399" s="5">
        <f t="shared" si="45"/>
        <v>7.35</v>
      </c>
      <c r="AC399" s="5">
        <f t="shared" si="46"/>
        <v>30</v>
      </c>
      <c r="AD399" s="5">
        <f t="shared" si="47"/>
        <v>4</v>
      </c>
      <c r="AE399" s="5" t="str">
        <f t="shared" si="48"/>
        <v>Shortage</v>
      </c>
    </row>
    <row r="400" spans="1:31" x14ac:dyDescent="0.25">
      <c r="A400" t="s">
        <v>1027</v>
      </c>
      <c r="B400" s="2">
        <v>46193</v>
      </c>
      <c r="C400" t="s">
        <v>1028</v>
      </c>
      <c r="D400" t="s">
        <v>346</v>
      </c>
      <c r="E400" t="s">
        <v>347</v>
      </c>
      <c r="F400" t="s">
        <v>55</v>
      </c>
      <c r="G400" t="s">
        <v>36</v>
      </c>
      <c r="H400" t="s">
        <v>50</v>
      </c>
      <c r="I400">
        <v>8</v>
      </c>
      <c r="J400">
        <v>15</v>
      </c>
      <c r="K400">
        <v>6</v>
      </c>
      <c r="L400">
        <v>9</v>
      </c>
      <c r="M400">
        <v>0</v>
      </c>
      <c r="N400">
        <v>15</v>
      </c>
      <c r="O400">
        <v>0</v>
      </c>
      <c r="P400">
        <v>22</v>
      </c>
      <c r="Q400">
        <v>7.63</v>
      </c>
      <c r="R400">
        <v>114.45</v>
      </c>
      <c r="S400">
        <v>12162</v>
      </c>
      <c r="T400">
        <v>11218</v>
      </c>
      <c r="U400">
        <v>171</v>
      </c>
      <c r="V400">
        <v>11047</v>
      </c>
      <c r="W400" s="3">
        <f t="shared" si="42"/>
        <v>96.522498907820008</v>
      </c>
      <c r="X400">
        <v>108.32817332835501</v>
      </c>
      <c r="Y400" s="3">
        <v>108.32817332835501</v>
      </c>
      <c r="Z400" s="4">
        <f t="shared" si="43"/>
        <v>0.89101935297338897</v>
      </c>
      <c r="AA400" s="5">
        <f t="shared" si="44"/>
        <v>112.26996289446879</v>
      </c>
      <c r="AB400" s="5">
        <f t="shared" si="45"/>
        <v>7.6333333333333337</v>
      </c>
      <c r="AC400" s="5">
        <f t="shared" si="46"/>
        <v>15</v>
      </c>
      <c r="AD400" s="5">
        <f t="shared" si="47"/>
        <v>0</v>
      </c>
      <c r="AE400" s="5" t="str">
        <f t="shared" si="48"/>
        <v>Balanced</v>
      </c>
    </row>
    <row r="401" spans="1:31" x14ac:dyDescent="0.25">
      <c r="A401" t="s">
        <v>1029</v>
      </c>
      <c r="B401" s="2">
        <v>46193</v>
      </c>
      <c r="C401" t="s">
        <v>1030</v>
      </c>
      <c r="D401" t="s">
        <v>558</v>
      </c>
      <c r="E401" t="s">
        <v>143</v>
      </c>
      <c r="F401" t="s">
        <v>42</v>
      </c>
      <c r="G401" t="s">
        <v>43</v>
      </c>
      <c r="H401" t="s">
        <v>74</v>
      </c>
      <c r="I401">
        <v>10</v>
      </c>
      <c r="J401">
        <v>22</v>
      </c>
      <c r="K401">
        <v>9</v>
      </c>
      <c r="L401">
        <v>13</v>
      </c>
      <c r="M401">
        <v>1</v>
      </c>
      <c r="N401">
        <v>21</v>
      </c>
      <c r="O401">
        <v>0</v>
      </c>
      <c r="P401">
        <v>52</v>
      </c>
      <c r="Q401">
        <v>9.1300000000000008</v>
      </c>
      <c r="R401">
        <v>191.73</v>
      </c>
      <c r="S401">
        <v>24637</v>
      </c>
      <c r="T401">
        <v>20244</v>
      </c>
      <c r="U401">
        <v>249</v>
      </c>
      <c r="V401">
        <v>19995</v>
      </c>
      <c r="W401" s="3">
        <f t="shared" si="42"/>
        <v>104.28727898607417</v>
      </c>
      <c r="X401">
        <v>115.1855592022217</v>
      </c>
      <c r="Y401" s="3">
        <v>115.1855592022217</v>
      </c>
      <c r="Z401" s="4">
        <f t="shared" si="43"/>
        <v>0.90538501274266225</v>
      </c>
      <c r="AA401" s="5">
        <f t="shared" si="44"/>
        <v>213.88965917808213</v>
      </c>
      <c r="AB401" s="5">
        <f t="shared" si="45"/>
        <v>9.1333333333333329</v>
      </c>
      <c r="AC401" s="5">
        <f t="shared" si="46"/>
        <v>24</v>
      </c>
      <c r="AD401" s="5">
        <f t="shared" si="47"/>
        <v>3</v>
      </c>
      <c r="AE401" s="5" t="str">
        <f t="shared" si="48"/>
        <v>Shortage</v>
      </c>
    </row>
    <row r="402" spans="1:31" x14ac:dyDescent="0.25">
      <c r="A402" t="s">
        <v>1031</v>
      </c>
      <c r="B402" s="2">
        <v>46193</v>
      </c>
      <c r="C402" t="s">
        <v>1032</v>
      </c>
      <c r="D402" t="s">
        <v>1033</v>
      </c>
      <c r="E402" t="s">
        <v>1034</v>
      </c>
      <c r="F402" t="s">
        <v>35</v>
      </c>
      <c r="G402" t="s">
        <v>43</v>
      </c>
      <c r="H402" t="s">
        <v>44</v>
      </c>
      <c r="I402">
        <v>8</v>
      </c>
      <c r="J402">
        <v>21</v>
      </c>
      <c r="K402">
        <v>8</v>
      </c>
      <c r="L402">
        <v>13</v>
      </c>
      <c r="M402">
        <v>0</v>
      </c>
      <c r="N402">
        <v>21</v>
      </c>
      <c r="O402">
        <v>0</v>
      </c>
      <c r="P402">
        <v>33</v>
      </c>
      <c r="Q402">
        <v>7.45</v>
      </c>
      <c r="R402">
        <v>156.44999999999999</v>
      </c>
      <c r="S402">
        <v>23940</v>
      </c>
      <c r="T402">
        <v>21210</v>
      </c>
      <c r="U402">
        <v>455</v>
      </c>
      <c r="V402">
        <v>20755</v>
      </c>
      <c r="W402" s="3">
        <f t="shared" si="42"/>
        <v>132.66219239373604</v>
      </c>
      <c r="X402">
        <v>118.01656521145939</v>
      </c>
      <c r="Y402" s="3">
        <v>118.01656521145939</v>
      </c>
      <c r="Z402" s="4">
        <f t="shared" si="43"/>
        <v>1.1240980633187803</v>
      </c>
      <c r="AA402" s="5">
        <f t="shared" si="44"/>
        <v>202.85287880650358</v>
      </c>
      <c r="AB402" s="5">
        <f t="shared" si="45"/>
        <v>7.45</v>
      </c>
      <c r="AC402" s="5">
        <f t="shared" si="46"/>
        <v>28</v>
      </c>
      <c r="AD402" s="5">
        <f t="shared" si="47"/>
        <v>7</v>
      </c>
      <c r="AE402" s="5" t="str">
        <f t="shared" si="48"/>
        <v>Shortage</v>
      </c>
    </row>
    <row r="403" spans="1:31" x14ac:dyDescent="0.25">
      <c r="A403" t="s">
        <v>1035</v>
      </c>
      <c r="B403" s="2">
        <v>46194</v>
      </c>
      <c r="C403" t="s">
        <v>1036</v>
      </c>
      <c r="D403" t="s">
        <v>999</v>
      </c>
      <c r="E403" t="s">
        <v>1000</v>
      </c>
      <c r="F403" t="s">
        <v>35</v>
      </c>
      <c r="G403" t="s">
        <v>43</v>
      </c>
      <c r="H403" t="s">
        <v>37</v>
      </c>
      <c r="I403">
        <v>10</v>
      </c>
      <c r="J403">
        <v>25</v>
      </c>
      <c r="K403">
        <v>12</v>
      </c>
      <c r="L403">
        <v>13</v>
      </c>
      <c r="M403">
        <v>0</v>
      </c>
      <c r="N403">
        <v>25</v>
      </c>
      <c r="O403">
        <v>0</v>
      </c>
      <c r="P403">
        <v>13</v>
      </c>
      <c r="Q403">
        <v>9.7799999999999994</v>
      </c>
      <c r="R403">
        <v>244.5</v>
      </c>
      <c r="S403">
        <v>31181</v>
      </c>
      <c r="T403">
        <v>30729</v>
      </c>
      <c r="U403">
        <v>777</v>
      </c>
      <c r="V403">
        <v>29952</v>
      </c>
      <c r="W403" s="3">
        <f t="shared" si="42"/>
        <v>122.50306748466258</v>
      </c>
      <c r="X403">
        <v>118.01656521145939</v>
      </c>
      <c r="Y403" s="3">
        <v>118.01656521145939</v>
      </c>
      <c r="Z403" s="4">
        <f t="shared" si="43"/>
        <v>1.0380158689177605</v>
      </c>
      <c r="AA403" s="5">
        <f t="shared" si="44"/>
        <v>264.208672266733</v>
      </c>
      <c r="AB403" s="5">
        <f t="shared" si="45"/>
        <v>9.7833333333333332</v>
      </c>
      <c r="AC403" s="5">
        <f t="shared" si="46"/>
        <v>28</v>
      </c>
      <c r="AD403" s="5">
        <f t="shared" si="47"/>
        <v>3</v>
      </c>
      <c r="AE403" s="5" t="str">
        <f t="shared" si="48"/>
        <v>Shortage</v>
      </c>
    </row>
    <row r="404" spans="1:31" x14ac:dyDescent="0.25">
      <c r="A404" t="s">
        <v>1037</v>
      </c>
      <c r="B404" s="2">
        <v>46197</v>
      </c>
      <c r="C404" t="s">
        <v>1038</v>
      </c>
      <c r="D404" t="s">
        <v>216</v>
      </c>
      <c r="E404" t="s">
        <v>217</v>
      </c>
      <c r="F404" t="s">
        <v>42</v>
      </c>
      <c r="G404" t="s">
        <v>36</v>
      </c>
      <c r="H404" t="s">
        <v>37</v>
      </c>
      <c r="I404">
        <v>9</v>
      </c>
      <c r="J404">
        <v>21</v>
      </c>
      <c r="K404">
        <v>7</v>
      </c>
      <c r="L404">
        <v>14</v>
      </c>
      <c r="M404">
        <v>2</v>
      </c>
      <c r="N404">
        <v>19</v>
      </c>
      <c r="O404">
        <v>1</v>
      </c>
      <c r="P404">
        <v>13</v>
      </c>
      <c r="Q404">
        <v>8.7799999999999994</v>
      </c>
      <c r="R404">
        <v>166.82</v>
      </c>
      <c r="S404">
        <v>19845</v>
      </c>
      <c r="T404">
        <v>18459</v>
      </c>
      <c r="U404">
        <v>552</v>
      </c>
      <c r="V404">
        <v>17907</v>
      </c>
      <c r="W404" s="3">
        <f t="shared" si="42"/>
        <v>107.3432442153219</v>
      </c>
      <c r="X404">
        <v>112.98347693798689</v>
      </c>
      <c r="Y404" s="3">
        <v>112.98347693798689</v>
      </c>
      <c r="Z404" s="4">
        <f t="shared" si="43"/>
        <v>0.95007913656471432</v>
      </c>
      <c r="AA404" s="5">
        <f t="shared" si="44"/>
        <v>175.64515217470517</v>
      </c>
      <c r="AB404" s="5">
        <f t="shared" si="45"/>
        <v>8.7833333333333332</v>
      </c>
      <c r="AC404" s="5">
        <f t="shared" si="46"/>
        <v>20</v>
      </c>
      <c r="AD404" s="5">
        <f t="shared" si="47"/>
        <v>1</v>
      </c>
      <c r="AE404" s="5" t="str">
        <f t="shared" si="48"/>
        <v>Shortage</v>
      </c>
    </row>
    <row r="405" spans="1:31" x14ac:dyDescent="0.25">
      <c r="A405" t="s">
        <v>1039</v>
      </c>
      <c r="B405" s="2">
        <v>46198</v>
      </c>
      <c r="C405" t="s">
        <v>1040</v>
      </c>
      <c r="D405" t="s">
        <v>737</v>
      </c>
      <c r="E405" t="s">
        <v>738</v>
      </c>
      <c r="F405" t="s">
        <v>35</v>
      </c>
      <c r="G405" t="s">
        <v>36</v>
      </c>
      <c r="H405" t="s">
        <v>37</v>
      </c>
      <c r="I405">
        <v>10</v>
      </c>
      <c r="J405">
        <v>19</v>
      </c>
      <c r="K405">
        <v>7</v>
      </c>
      <c r="L405">
        <v>12</v>
      </c>
      <c r="M405">
        <v>1</v>
      </c>
      <c r="N405">
        <v>18</v>
      </c>
      <c r="O405">
        <v>0</v>
      </c>
      <c r="P405">
        <v>13</v>
      </c>
      <c r="Q405">
        <v>9.7799999999999994</v>
      </c>
      <c r="R405">
        <v>176.04</v>
      </c>
      <c r="S405">
        <v>21871</v>
      </c>
      <c r="T405">
        <v>20976</v>
      </c>
      <c r="U405">
        <v>312</v>
      </c>
      <c r="V405">
        <v>20664</v>
      </c>
      <c r="W405" s="3">
        <f t="shared" si="42"/>
        <v>117.38241308793457</v>
      </c>
      <c r="X405">
        <v>114.1563708384419</v>
      </c>
      <c r="Y405" s="3">
        <v>114.1563708384419</v>
      </c>
      <c r="Z405" s="4">
        <f t="shared" si="43"/>
        <v>1.0282598529175238</v>
      </c>
      <c r="AA405" s="5">
        <f t="shared" si="44"/>
        <v>191.58808079973571</v>
      </c>
      <c r="AB405" s="5">
        <f t="shared" si="45"/>
        <v>9.7833333333333332</v>
      </c>
      <c r="AC405" s="5">
        <f t="shared" si="46"/>
        <v>20</v>
      </c>
      <c r="AD405" s="5">
        <f t="shared" si="47"/>
        <v>2</v>
      </c>
      <c r="AE405" s="5" t="str">
        <f t="shared" si="48"/>
        <v>Shortage</v>
      </c>
    </row>
    <row r="406" spans="1:31" x14ac:dyDescent="0.25">
      <c r="A406" t="s">
        <v>1041</v>
      </c>
      <c r="B406" s="2">
        <v>46198</v>
      </c>
      <c r="C406" t="s">
        <v>1042</v>
      </c>
      <c r="D406" t="s">
        <v>452</v>
      </c>
      <c r="E406" t="s">
        <v>453</v>
      </c>
      <c r="F406" t="s">
        <v>42</v>
      </c>
      <c r="G406" t="s">
        <v>43</v>
      </c>
      <c r="H406" t="s">
        <v>88</v>
      </c>
      <c r="I406">
        <v>8</v>
      </c>
      <c r="J406">
        <v>21</v>
      </c>
      <c r="K406">
        <v>7</v>
      </c>
      <c r="L406">
        <v>14</v>
      </c>
      <c r="M406">
        <v>0</v>
      </c>
      <c r="N406">
        <v>21</v>
      </c>
      <c r="O406">
        <v>1</v>
      </c>
      <c r="P406">
        <v>21</v>
      </c>
      <c r="Q406">
        <v>7.65</v>
      </c>
      <c r="R406">
        <v>160.65</v>
      </c>
      <c r="S406">
        <v>20438</v>
      </c>
      <c r="T406">
        <v>19258</v>
      </c>
      <c r="U406">
        <v>298</v>
      </c>
      <c r="V406">
        <v>18960</v>
      </c>
      <c r="W406" s="3">
        <f t="shared" si="42"/>
        <v>118.02054154995331</v>
      </c>
      <c r="X406">
        <v>115.1855592022217</v>
      </c>
      <c r="Y406" s="3">
        <v>115.1855592022217</v>
      </c>
      <c r="Z406" s="4">
        <f t="shared" si="43"/>
        <v>1.0246123070232656</v>
      </c>
      <c r="AA406" s="5">
        <f t="shared" si="44"/>
        <v>177.43543671232871</v>
      </c>
      <c r="AB406" s="5">
        <f t="shared" si="45"/>
        <v>7.65</v>
      </c>
      <c r="AC406" s="5">
        <f t="shared" si="46"/>
        <v>24</v>
      </c>
      <c r="AD406" s="5">
        <f t="shared" si="47"/>
        <v>3</v>
      </c>
      <c r="AE406" s="5" t="str">
        <f t="shared" si="48"/>
        <v>Shortage</v>
      </c>
    </row>
    <row r="407" spans="1:31" x14ac:dyDescent="0.25">
      <c r="A407" t="s">
        <v>1043</v>
      </c>
      <c r="B407" s="2">
        <v>46199</v>
      </c>
      <c r="C407" t="s">
        <v>1044</v>
      </c>
      <c r="D407" t="s">
        <v>346</v>
      </c>
      <c r="E407" t="s">
        <v>347</v>
      </c>
      <c r="F407" t="s">
        <v>68</v>
      </c>
      <c r="G407" t="s">
        <v>36</v>
      </c>
      <c r="H407" t="s">
        <v>50</v>
      </c>
      <c r="I407">
        <v>9</v>
      </c>
      <c r="J407">
        <v>24</v>
      </c>
      <c r="K407">
        <v>11</v>
      </c>
      <c r="L407">
        <v>13</v>
      </c>
      <c r="M407">
        <v>0</v>
      </c>
      <c r="N407">
        <v>24</v>
      </c>
      <c r="O407">
        <v>3</v>
      </c>
      <c r="P407">
        <v>22</v>
      </c>
      <c r="Q407">
        <v>8.6300000000000008</v>
      </c>
      <c r="R407">
        <v>207.12</v>
      </c>
      <c r="S407">
        <v>28980</v>
      </c>
      <c r="T407">
        <v>23521</v>
      </c>
      <c r="U407">
        <v>448</v>
      </c>
      <c r="V407">
        <v>23073</v>
      </c>
      <c r="W407" s="3">
        <f t="shared" si="42"/>
        <v>111.39918887601391</v>
      </c>
      <c r="X407">
        <v>120.8174989437542</v>
      </c>
      <c r="Y407" s="3">
        <v>120.8174989437542</v>
      </c>
      <c r="Z407" s="4">
        <f t="shared" si="43"/>
        <v>0.92204514950168825</v>
      </c>
      <c r="AA407" s="5">
        <f t="shared" si="44"/>
        <v>239.86591556154832</v>
      </c>
      <c r="AB407" s="5">
        <f t="shared" si="45"/>
        <v>8.6333333333333329</v>
      </c>
      <c r="AC407" s="5">
        <f t="shared" si="46"/>
        <v>28</v>
      </c>
      <c r="AD407" s="5">
        <f t="shared" si="47"/>
        <v>4</v>
      </c>
      <c r="AE407" s="5" t="str">
        <f t="shared" si="48"/>
        <v>Shortage</v>
      </c>
    </row>
    <row r="408" spans="1:31" x14ac:dyDescent="0.25">
      <c r="A408" t="s">
        <v>1045</v>
      </c>
      <c r="B408" s="2">
        <v>46199</v>
      </c>
      <c r="C408" t="s">
        <v>1046</v>
      </c>
      <c r="D408" t="s">
        <v>542</v>
      </c>
      <c r="E408" t="s">
        <v>108</v>
      </c>
      <c r="F408" t="s">
        <v>55</v>
      </c>
      <c r="G408" t="s">
        <v>43</v>
      </c>
      <c r="H408" t="s">
        <v>37</v>
      </c>
      <c r="I408">
        <v>8</v>
      </c>
      <c r="J408">
        <v>21</v>
      </c>
      <c r="K408">
        <v>10</v>
      </c>
      <c r="L408">
        <v>11</v>
      </c>
      <c r="M408">
        <v>0</v>
      </c>
      <c r="N408">
        <v>21</v>
      </c>
      <c r="O408">
        <v>0</v>
      </c>
      <c r="P408">
        <v>15</v>
      </c>
      <c r="Q408">
        <v>7.75</v>
      </c>
      <c r="R408">
        <v>162.75</v>
      </c>
      <c r="S408">
        <v>19408</v>
      </c>
      <c r="T408">
        <v>17471</v>
      </c>
      <c r="U408">
        <v>330</v>
      </c>
      <c r="V408">
        <v>17141</v>
      </c>
      <c r="W408" s="3">
        <f t="shared" si="42"/>
        <v>105.321044546851</v>
      </c>
      <c r="X408">
        <v>109.38855294136761</v>
      </c>
      <c r="Y408" s="3">
        <v>109.38855294136761</v>
      </c>
      <c r="Z408" s="4">
        <f t="shared" si="43"/>
        <v>0.96281595939296505</v>
      </c>
      <c r="AA408" s="5">
        <f t="shared" si="44"/>
        <v>177.42258653337075</v>
      </c>
      <c r="AB408" s="5">
        <f t="shared" si="45"/>
        <v>7.75</v>
      </c>
      <c r="AC408" s="5">
        <f t="shared" si="46"/>
        <v>23</v>
      </c>
      <c r="AD408" s="5">
        <f t="shared" si="47"/>
        <v>2</v>
      </c>
      <c r="AE408" s="5" t="str">
        <f t="shared" si="48"/>
        <v>Shortage</v>
      </c>
    </row>
    <row r="409" spans="1:31" x14ac:dyDescent="0.25">
      <c r="A409" t="s">
        <v>1047</v>
      </c>
      <c r="B409" s="2">
        <v>46200</v>
      </c>
      <c r="C409" t="s">
        <v>1048</v>
      </c>
      <c r="D409" t="s">
        <v>130</v>
      </c>
      <c r="E409" t="s">
        <v>131</v>
      </c>
      <c r="F409" t="s">
        <v>42</v>
      </c>
      <c r="G409" t="s">
        <v>43</v>
      </c>
      <c r="H409" t="s">
        <v>69</v>
      </c>
      <c r="I409">
        <v>8</v>
      </c>
      <c r="J409">
        <v>17</v>
      </c>
      <c r="K409">
        <v>8</v>
      </c>
      <c r="L409">
        <v>9</v>
      </c>
      <c r="M409">
        <v>0</v>
      </c>
      <c r="N409">
        <v>17</v>
      </c>
      <c r="O409">
        <v>2</v>
      </c>
      <c r="P409">
        <v>57</v>
      </c>
      <c r="Q409">
        <v>7.05</v>
      </c>
      <c r="R409">
        <v>119.85</v>
      </c>
      <c r="S409">
        <v>16436</v>
      </c>
      <c r="T409">
        <v>14553</v>
      </c>
      <c r="U409">
        <v>351</v>
      </c>
      <c r="V409">
        <v>14202</v>
      </c>
      <c r="W409" s="3">
        <f t="shared" si="42"/>
        <v>118.49812265331666</v>
      </c>
      <c r="X409">
        <v>115.1855592022217</v>
      </c>
      <c r="Y409" s="3">
        <v>115.1855592022217</v>
      </c>
      <c r="Z409" s="4">
        <f t="shared" si="43"/>
        <v>1.0287584960652869</v>
      </c>
      <c r="AA409" s="5">
        <f t="shared" si="44"/>
        <v>142.69149808219174</v>
      </c>
      <c r="AB409" s="5">
        <f t="shared" si="45"/>
        <v>7.05</v>
      </c>
      <c r="AC409" s="5">
        <f t="shared" si="46"/>
        <v>21</v>
      </c>
      <c r="AD409" s="5">
        <f t="shared" si="47"/>
        <v>4</v>
      </c>
      <c r="AE409" s="5" t="str">
        <f t="shared" si="48"/>
        <v>Shortage</v>
      </c>
    </row>
    <row r="410" spans="1:31" x14ac:dyDescent="0.25">
      <c r="A410" t="s">
        <v>1049</v>
      </c>
      <c r="B410" s="2">
        <v>46201</v>
      </c>
      <c r="C410" t="s">
        <v>1050</v>
      </c>
      <c r="D410" t="s">
        <v>516</v>
      </c>
      <c r="E410" t="s">
        <v>517</v>
      </c>
      <c r="F410" t="s">
        <v>68</v>
      </c>
      <c r="G410" t="s">
        <v>43</v>
      </c>
      <c r="H410" t="s">
        <v>44</v>
      </c>
      <c r="I410">
        <v>10</v>
      </c>
      <c r="J410">
        <v>27</v>
      </c>
      <c r="K410">
        <v>11</v>
      </c>
      <c r="L410">
        <v>16</v>
      </c>
      <c r="M410">
        <v>0</v>
      </c>
      <c r="N410">
        <v>27</v>
      </c>
      <c r="O410">
        <v>2</v>
      </c>
      <c r="P410">
        <v>57</v>
      </c>
      <c r="Q410">
        <v>9.0500000000000007</v>
      </c>
      <c r="R410">
        <v>244.35</v>
      </c>
      <c r="S410">
        <v>35742</v>
      </c>
      <c r="T410">
        <v>30656</v>
      </c>
      <c r="U410">
        <v>823</v>
      </c>
      <c r="V410">
        <v>29833</v>
      </c>
      <c r="W410" s="3">
        <f t="shared" si="42"/>
        <v>122.09126253325148</v>
      </c>
      <c r="X410">
        <v>128.22014138735929</v>
      </c>
      <c r="Y410" s="3">
        <v>128.22014138735929</v>
      </c>
      <c r="Z410" s="4">
        <f t="shared" si="43"/>
        <v>0.95220034241272467</v>
      </c>
      <c r="AA410" s="5">
        <f t="shared" si="44"/>
        <v>278.75495700805442</v>
      </c>
      <c r="AB410" s="5">
        <f t="shared" si="45"/>
        <v>9.0500000000000007</v>
      </c>
      <c r="AC410" s="5">
        <f t="shared" si="46"/>
        <v>31</v>
      </c>
      <c r="AD410" s="5">
        <f t="shared" si="47"/>
        <v>4</v>
      </c>
      <c r="AE410" s="5" t="str">
        <f t="shared" si="48"/>
        <v>Shortage</v>
      </c>
    </row>
    <row r="411" spans="1:31" x14ac:dyDescent="0.25">
      <c r="A411" t="s">
        <v>1051</v>
      </c>
      <c r="B411" s="2">
        <v>46201</v>
      </c>
      <c r="C411" t="s">
        <v>1052</v>
      </c>
      <c r="D411" t="s">
        <v>542</v>
      </c>
      <c r="E411" t="s">
        <v>108</v>
      </c>
      <c r="F411" t="s">
        <v>35</v>
      </c>
      <c r="G411" t="s">
        <v>43</v>
      </c>
      <c r="H411" t="s">
        <v>50</v>
      </c>
      <c r="I411">
        <v>10</v>
      </c>
      <c r="J411">
        <v>22</v>
      </c>
      <c r="K411">
        <v>11</v>
      </c>
      <c r="L411">
        <v>11</v>
      </c>
      <c r="M411">
        <v>1</v>
      </c>
      <c r="N411">
        <v>21</v>
      </c>
      <c r="O411">
        <v>3</v>
      </c>
      <c r="P411">
        <v>43</v>
      </c>
      <c r="Q411">
        <v>9.2799999999999994</v>
      </c>
      <c r="R411">
        <v>194.88</v>
      </c>
      <c r="S411">
        <v>23978</v>
      </c>
      <c r="T411">
        <v>21771</v>
      </c>
      <c r="U411">
        <v>512</v>
      </c>
      <c r="V411">
        <v>21259</v>
      </c>
      <c r="W411" s="3">
        <f t="shared" si="42"/>
        <v>109.08764367816092</v>
      </c>
      <c r="X411">
        <v>118.01656521145939</v>
      </c>
      <c r="Y411" s="3">
        <v>118.01656521145939</v>
      </c>
      <c r="Z411" s="4">
        <f t="shared" si="43"/>
        <v>0.9243417945836685</v>
      </c>
      <c r="AA411" s="5">
        <f t="shared" si="44"/>
        <v>203.17486750302186</v>
      </c>
      <c r="AB411" s="5">
        <f t="shared" si="45"/>
        <v>9.2833333333333332</v>
      </c>
      <c r="AC411" s="5">
        <f t="shared" si="46"/>
        <v>22</v>
      </c>
      <c r="AD411" s="5">
        <f t="shared" si="47"/>
        <v>1</v>
      </c>
      <c r="AE411" s="5" t="str">
        <f t="shared" si="48"/>
        <v>Shortage</v>
      </c>
    </row>
    <row r="412" spans="1:31" x14ac:dyDescent="0.25">
      <c r="A412" t="s">
        <v>1053</v>
      </c>
      <c r="B412" s="2">
        <v>46202</v>
      </c>
      <c r="C412" t="s">
        <v>1054</v>
      </c>
      <c r="D412" t="s">
        <v>917</v>
      </c>
      <c r="E412" t="s">
        <v>918</v>
      </c>
      <c r="F412" t="s">
        <v>35</v>
      </c>
      <c r="G412" t="s">
        <v>36</v>
      </c>
      <c r="H412" t="s">
        <v>37</v>
      </c>
      <c r="I412">
        <v>9</v>
      </c>
      <c r="J412">
        <v>20</v>
      </c>
      <c r="K412">
        <v>6</v>
      </c>
      <c r="L412">
        <v>14</v>
      </c>
      <c r="M412">
        <v>0</v>
      </c>
      <c r="N412">
        <v>20</v>
      </c>
      <c r="O412">
        <v>1</v>
      </c>
      <c r="P412">
        <v>11</v>
      </c>
      <c r="Q412">
        <v>8.82</v>
      </c>
      <c r="R412">
        <v>176.4</v>
      </c>
      <c r="S412">
        <v>22336</v>
      </c>
      <c r="T412">
        <v>18510</v>
      </c>
      <c r="U412">
        <v>425</v>
      </c>
      <c r="V412">
        <v>18085</v>
      </c>
      <c r="W412" s="3">
        <f t="shared" si="42"/>
        <v>102.52267573696145</v>
      </c>
      <c r="X412">
        <v>114.1563708384419</v>
      </c>
      <c r="Y412" s="3">
        <v>114.1563708384419</v>
      </c>
      <c r="Z412" s="4">
        <f t="shared" si="43"/>
        <v>0.89808983050148927</v>
      </c>
      <c r="AA412" s="5">
        <f t="shared" si="44"/>
        <v>195.6614408460014</v>
      </c>
      <c r="AB412" s="5">
        <f t="shared" si="45"/>
        <v>8.8166666666666664</v>
      </c>
      <c r="AC412" s="5">
        <f t="shared" si="46"/>
        <v>23</v>
      </c>
      <c r="AD412" s="5">
        <f t="shared" si="47"/>
        <v>3</v>
      </c>
      <c r="AE412" s="5" t="str">
        <f t="shared" si="48"/>
        <v>Shortage</v>
      </c>
    </row>
    <row r="413" spans="1:31" x14ac:dyDescent="0.25">
      <c r="A413" t="s">
        <v>1055</v>
      </c>
      <c r="B413" s="2">
        <v>46202</v>
      </c>
      <c r="C413" t="s">
        <v>1056</v>
      </c>
      <c r="D413" t="s">
        <v>567</v>
      </c>
      <c r="E413" t="s">
        <v>568</v>
      </c>
      <c r="F413" t="s">
        <v>42</v>
      </c>
      <c r="G413" t="s">
        <v>43</v>
      </c>
      <c r="H413" t="s">
        <v>88</v>
      </c>
      <c r="I413">
        <v>8</v>
      </c>
      <c r="J413">
        <v>19</v>
      </c>
      <c r="K413">
        <v>7</v>
      </c>
      <c r="L413">
        <v>12</v>
      </c>
      <c r="M413">
        <v>2</v>
      </c>
      <c r="N413">
        <v>17</v>
      </c>
      <c r="O413">
        <v>1</v>
      </c>
      <c r="P413">
        <v>53</v>
      </c>
      <c r="Q413">
        <v>7.12</v>
      </c>
      <c r="R413">
        <v>121.04</v>
      </c>
      <c r="S413">
        <v>16681</v>
      </c>
      <c r="T413">
        <v>13787</v>
      </c>
      <c r="U413">
        <v>389</v>
      </c>
      <c r="V413">
        <v>13398</v>
      </c>
      <c r="W413" s="3">
        <f t="shared" si="42"/>
        <v>110.69068076668869</v>
      </c>
      <c r="X413">
        <v>115.1855592022217</v>
      </c>
      <c r="Y413" s="3">
        <v>115.1855592022217</v>
      </c>
      <c r="Z413" s="4">
        <f t="shared" si="43"/>
        <v>0.96097706633830959</v>
      </c>
      <c r="AA413" s="5">
        <f t="shared" si="44"/>
        <v>144.81850082191775</v>
      </c>
      <c r="AB413" s="5">
        <f t="shared" si="45"/>
        <v>7.1166666666666671</v>
      </c>
      <c r="AC413" s="5">
        <f t="shared" si="46"/>
        <v>21</v>
      </c>
      <c r="AD413" s="5">
        <f t="shared" si="47"/>
        <v>4</v>
      </c>
      <c r="AE413" s="5" t="str">
        <f t="shared" si="48"/>
        <v>Shortage</v>
      </c>
    </row>
    <row r="414" spans="1:31" x14ac:dyDescent="0.25">
      <c r="A414" t="s">
        <v>1057</v>
      </c>
      <c r="B414" s="2">
        <v>46202</v>
      </c>
      <c r="C414" t="s">
        <v>1058</v>
      </c>
      <c r="D414" t="s">
        <v>77</v>
      </c>
      <c r="E414" t="s">
        <v>78</v>
      </c>
      <c r="F414" t="s">
        <v>68</v>
      </c>
      <c r="G414" t="s">
        <v>43</v>
      </c>
      <c r="H414" t="s">
        <v>50</v>
      </c>
      <c r="I414">
        <v>9</v>
      </c>
      <c r="J414">
        <v>27</v>
      </c>
      <c r="K414">
        <v>11</v>
      </c>
      <c r="L414">
        <v>16</v>
      </c>
      <c r="M414">
        <v>2</v>
      </c>
      <c r="N414">
        <v>25</v>
      </c>
      <c r="O414">
        <v>3</v>
      </c>
      <c r="P414">
        <v>60</v>
      </c>
      <c r="Q414">
        <v>8</v>
      </c>
      <c r="R414">
        <v>200</v>
      </c>
      <c r="S414">
        <v>32757</v>
      </c>
      <c r="T414">
        <v>25158</v>
      </c>
      <c r="U414">
        <v>815</v>
      </c>
      <c r="V414">
        <v>24343</v>
      </c>
      <c r="W414" s="3">
        <f t="shared" si="42"/>
        <v>121.715</v>
      </c>
      <c r="X414">
        <v>128.22014138735929</v>
      </c>
      <c r="Y414" s="3">
        <v>128.22014138735929</v>
      </c>
      <c r="Z414" s="4">
        <f t="shared" si="43"/>
        <v>0.949265838292075</v>
      </c>
      <c r="AA414" s="5">
        <f t="shared" si="44"/>
        <v>255.4746831938011</v>
      </c>
      <c r="AB414" s="5">
        <f t="shared" si="45"/>
        <v>8</v>
      </c>
      <c r="AC414" s="5">
        <f t="shared" si="46"/>
        <v>32</v>
      </c>
      <c r="AD414" s="5">
        <f t="shared" si="47"/>
        <v>7</v>
      </c>
      <c r="AE414" s="5" t="str">
        <f t="shared" si="48"/>
        <v>Shortage</v>
      </c>
    </row>
    <row r="415" spans="1:31" x14ac:dyDescent="0.25">
      <c r="A415" t="s">
        <v>1059</v>
      </c>
      <c r="B415" s="2">
        <v>46204</v>
      </c>
      <c r="C415" t="s">
        <v>1060</v>
      </c>
      <c r="D415" t="s">
        <v>193</v>
      </c>
      <c r="E415" t="s">
        <v>135</v>
      </c>
      <c r="F415" t="s">
        <v>42</v>
      </c>
      <c r="G415" t="s">
        <v>36</v>
      </c>
      <c r="H415" t="s">
        <v>44</v>
      </c>
      <c r="I415">
        <v>8</v>
      </c>
      <c r="J415">
        <v>21</v>
      </c>
      <c r="K415">
        <v>9</v>
      </c>
      <c r="L415">
        <v>12</v>
      </c>
      <c r="M415">
        <v>0</v>
      </c>
      <c r="N415">
        <v>21</v>
      </c>
      <c r="O415">
        <v>2</v>
      </c>
      <c r="P415">
        <v>57</v>
      </c>
      <c r="Q415">
        <v>7.05</v>
      </c>
      <c r="R415">
        <v>148.05000000000001</v>
      </c>
      <c r="S415">
        <v>18032</v>
      </c>
      <c r="T415">
        <v>14773</v>
      </c>
      <c r="U415">
        <v>431</v>
      </c>
      <c r="V415">
        <v>14342</v>
      </c>
      <c r="W415" s="3">
        <f t="shared" si="42"/>
        <v>96.872678149273881</v>
      </c>
      <c r="X415">
        <v>112.98347693798689</v>
      </c>
      <c r="Y415" s="3">
        <v>112.98347693798689</v>
      </c>
      <c r="Z415" s="4">
        <f t="shared" si="43"/>
        <v>0.85740570899977053</v>
      </c>
      <c r="AA415" s="5">
        <f t="shared" si="44"/>
        <v>159.59855802541111</v>
      </c>
      <c r="AB415" s="5">
        <f t="shared" si="45"/>
        <v>7.05</v>
      </c>
      <c r="AC415" s="5">
        <f t="shared" si="46"/>
        <v>23</v>
      </c>
      <c r="AD415" s="5">
        <f t="shared" si="47"/>
        <v>2</v>
      </c>
      <c r="AE415" s="5" t="str">
        <f t="shared" si="48"/>
        <v>Shortage</v>
      </c>
    </row>
    <row r="416" spans="1:31" x14ac:dyDescent="0.25">
      <c r="A416" t="s">
        <v>1061</v>
      </c>
      <c r="B416" s="2">
        <v>46204</v>
      </c>
      <c r="C416" t="s">
        <v>1062</v>
      </c>
      <c r="D416" t="s">
        <v>156</v>
      </c>
      <c r="E416" t="s">
        <v>157</v>
      </c>
      <c r="F416" t="s">
        <v>42</v>
      </c>
      <c r="G416" t="s">
        <v>43</v>
      </c>
      <c r="H416" t="s">
        <v>74</v>
      </c>
      <c r="I416">
        <v>8</v>
      </c>
      <c r="J416">
        <v>23</v>
      </c>
      <c r="K416">
        <v>8</v>
      </c>
      <c r="L416">
        <v>15</v>
      </c>
      <c r="M416">
        <v>0</v>
      </c>
      <c r="N416">
        <v>23</v>
      </c>
      <c r="O416">
        <v>2</v>
      </c>
      <c r="P416">
        <v>57</v>
      </c>
      <c r="Q416">
        <v>7.05</v>
      </c>
      <c r="R416">
        <v>162.15</v>
      </c>
      <c r="S416">
        <v>24353</v>
      </c>
      <c r="T416">
        <v>20444</v>
      </c>
      <c r="U416">
        <v>741</v>
      </c>
      <c r="V416">
        <v>19703</v>
      </c>
      <c r="W416" s="3">
        <f t="shared" si="42"/>
        <v>121.5109466543324</v>
      </c>
      <c r="X416">
        <v>115.1855592022217</v>
      </c>
      <c r="Y416" s="3">
        <v>115.1855592022217</v>
      </c>
      <c r="Z416" s="4">
        <f t="shared" si="43"/>
        <v>1.0549147609815024</v>
      </c>
      <c r="AA416" s="5">
        <f t="shared" si="44"/>
        <v>211.42407232876707</v>
      </c>
      <c r="AB416" s="5">
        <f t="shared" si="45"/>
        <v>7.05</v>
      </c>
      <c r="AC416" s="5">
        <f t="shared" si="46"/>
        <v>30</v>
      </c>
      <c r="AD416" s="5">
        <f t="shared" si="47"/>
        <v>7</v>
      </c>
      <c r="AE416" s="5" t="str">
        <f t="shared" si="48"/>
        <v>Shortage</v>
      </c>
    </row>
    <row r="417" spans="1:31" x14ac:dyDescent="0.25">
      <c r="A417" t="s">
        <v>1063</v>
      </c>
      <c r="B417" s="2">
        <v>46205</v>
      </c>
      <c r="C417" t="s">
        <v>1064</v>
      </c>
      <c r="D417" t="s">
        <v>440</v>
      </c>
      <c r="E417" t="s">
        <v>441</v>
      </c>
      <c r="F417" t="s">
        <v>55</v>
      </c>
      <c r="G417" t="s">
        <v>43</v>
      </c>
      <c r="H417" t="s">
        <v>50</v>
      </c>
      <c r="I417">
        <v>9</v>
      </c>
      <c r="J417">
        <v>20</v>
      </c>
      <c r="K417">
        <v>7</v>
      </c>
      <c r="L417">
        <v>13</v>
      </c>
      <c r="M417">
        <v>0</v>
      </c>
      <c r="N417">
        <v>20</v>
      </c>
      <c r="O417">
        <v>0</v>
      </c>
      <c r="P417">
        <v>59</v>
      </c>
      <c r="Q417">
        <v>8.02</v>
      </c>
      <c r="R417">
        <v>160.4</v>
      </c>
      <c r="S417">
        <v>19293</v>
      </c>
      <c r="T417">
        <v>17526</v>
      </c>
      <c r="U417">
        <v>277</v>
      </c>
      <c r="V417">
        <v>17249</v>
      </c>
      <c r="W417" s="3">
        <f t="shared" si="42"/>
        <v>107.53740648379052</v>
      </c>
      <c r="X417">
        <v>109.38855294136761</v>
      </c>
      <c r="Y417" s="3">
        <v>109.38855294136761</v>
      </c>
      <c r="Z417" s="4">
        <f t="shared" si="43"/>
        <v>0.98307732932010439</v>
      </c>
      <c r="AA417" s="5">
        <f t="shared" si="44"/>
        <v>176.3712882310553</v>
      </c>
      <c r="AB417" s="5">
        <f t="shared" si="45"/>
        <v>8.0166666666666675</v>
      </c>
      <c r="AC417" s="5">
        <f t="shared" si="46"/>
        <v>23</v>
      </c>
      <c r="AD417" s="5">
        <f t="shared" si="47"/>
        <v>3</v>
      </c>
      <c r="AE417" s="5" t="str">
        <f t="shared" si="48"/>
        <v>Shortage</v>
      </c>
    </row>
    <row r="418" spans="1:31" x14ac:dyDescent="0.25">
      <c r="A418" t="s">
        <v>1065</v>
      </c>
      <c r="B418" s="2">
        <v>46205</v>
      </c>
      <c r="C418" t="s">
        <v>1066</v>
      </c>
      <c r="D418" t="s">
        <v>398</v>
      </c>
      <c r="E418" t="s">
        <v>399</v>
      </c>
      <c r="F418" t="s">
        <v>35</v>
      </c>
      <c r="G418" t="s">
        <v>43</v>
      </c>
      <c r="H418" t="s">
        <v>88</v>
      </c>
      <c r="I418">
        <v>9</v>
      </c>
      <c r="J418">
        <v>19</v>
      </c>
      <c r="K418">
        <v>7</v>
      </c>
      <c r="L418">
        <v>12</v>
      </c>
      <c r="M418">
        <v>0</v>
      </c>
      <c r="N418">
        <v>19</v>
      </c>
      <c r="O418">
        <v>0</v>
      </c>
      <c r="P418">
        <v>5</v>
      </c>
      <c r="Q418">
        <v>8.92</v>
      </c>
      <c r="R418">
        <v>169.48</v>
      </c>
      <c r="S418">
        <v>19714</v>
      </c>
      <c r="T418">
        <v>20558</v>
      </c>
      <c r="U418">
        <v>523</v>
      </c>
      <c r="V418">
        <v>20035</v>
      </c>
      <c r="W418" s="3">
        <f t="shared" si="42"/>
        <v>118.21453858862404</v>
      </c>
      <c r="X418">
        <v>118.01656521145939</v>
      </c>
      <c r="Y418" s="3">
        <v>118.01656521145939</v>
      </c>
      <c r="Z418" s="4">
        <f t="shared" si="43"/>
        <v>1.0016775049910147</v>
      </c>
      <c r="AA418" s="5">
        <f t="shared" si="44"/>
        <v>167.04434639897292</v>
      </c>
      <c r="AB418" s="5">
        <f t="shared" si="45"/>
        <v>8.9166666666666661</v>
      </c>
      <c r="AC418" s="5">
        <f t="shared" si="46"/>
        <v>19</v>
      </c>
      <c r="AD418" s="5">
        <f t="shared" si="47"/>
        <v>0</v>
      </c>
      <c r="AE418" s="5" t="str">
        <f t="shared" si="48"/>
        <v>Balanced</v>
      </c>
    </row>
    <row r="419" spans="1:31" x14ac:dyDescent="0.25">
      <c r="A419" t="s">
        <v>1067</v>
      </c>
      <c r="B419" s="2">
        <v>46206</v>
      </c>
      <c r="C419" t="s">
        <v>1068</v>
      </c>
      <c r="D419" t="s">
        <v>160</v>
      </c>
      <c r="E419" t="s">
        <v>161</v>
      </c>
      <c r="F419" t="s">
        <v>35</v>
      </c>
      <c r="G419" t="s">
        <v>43</v>
      </c>
      <c r="H419" t="s">
        <v>37</v>
      </c>
      <c r="I419">
        <v>9</v>
      </c>
      <c r="J419">
        <v>25</v>
      </c>
      <c r="K419">
        <v>8</v>
      </c>
      <c r="L419">
        <v>17</v>
      </c>
      <c r="M419">
        <v>0</v>
      </c>
      <c r="N419">
        <v>25</v>
      </c>
      <c r="O419">
        <v>3</v>
      </c>
      <c r="P419">
        <v>43</v>
      </c>
      <c r="Q419">
        <v>8.2799999999999994</v>
      </c>
      <c r="R419">
        <v>207</v>
      </c>
      <c r="S419">
        <v>29434</v>
      </c>
      <c r="T419">
        <v>26080</v>
      </c>
      <c r="U419">
        <v>283</v>
      </c>
      <c r="V419">
        <v>25797</v>
      </c>
      <c r="W419" s="3">
        <f t="shared" si="42"/>
        <v>124.62318840579709</v>
      </c>
      <c r="X419">
        <v>118.01656521145939</v>
      </c>
      <c r="Y419" s="3">
        <v>118.01656521145939</v>
      </c>
      <c r="Z419" s="4">
        <f t="shared" si="43"/>
        <v>1.0559804734403184</v>
      </c>
      <c r="AA419" s="5">
        <f t="shared" si="44"/>
        <v>249.40566561364355</v>
      </c>
      <c r="AB419" s="5">
        <f t="shared" si="45"/>
        <v>8.2833333333333332</v>
      </c>
      <c r="AC419" s="5">
        <f t="shared" si="46"/>
        <v>31</v>
      </c>
      <c r="AD419" s="5">
        <f t="shared" si="47"/>
        <v>6</v>
      </c>
      <c r="AE419" s="5" t="str">
        <f t="shared" si="48"/>
        <v>Shortage</v>
      </c>
    </row>
    <row r="420" spans="1:31" x14ac:dyDescent="0.25">
      <c r="A420" t="s">
        <v>1069</v>
      </c>
      <c r="B420" s="2">
        <v>46209</v>
      </c>
      <c r="C420" t="s">
        <v>1070</v>
      </c>
      <c r="D420" t="s">
        <v>542</v>
      </c>
      <c r="E420" t="s">
        <v>108</v>
      </c>
      <c r="F420" t="s">
        <v>55</v>
      </c>
      <c r="G420" t="s">
        <v>43</v>
      </c>
      <c r="H420" t="s">
        <v>69</v>
      </c>
      <c r="I420">
        <v>9</v>
      </c>
      <c r="J420">
        <v>15</v>
      </c>
      <c r="K420">
        <v>5</v>
      </c>
      <c r="L420">
        <v>10</v>
      </c>
      <c r="M420">
        <v>2</v>
      </c>
      <c r="N420">
        <v>13</v>
      </c>
      <c r="O420">
        <v>0</v>
      </c>
      <c r="P420">
        <v>22</v>
      </c>
      <c r="Q420">
        <v>8.6300000000000008</v>
      </c>
      <c r="R420">
        <v>112.19</v>
      </c>
      <c r="S420">
        <v>13389</v>
      </c>
      <c r="T420">
        <v>11495</v>
      </c>
      <c r="U420">
        <v>289</v>
      </c>
      <c r="V420">
        <v>11206</v>
      </c>
      <c r="W420" s="3">
        <f t="shared" si="42"/>
        <v>99.884125144843566</v>
      </c>
      <c r="X420">
        <v>109.38855294136761</v>
      </c>
      <c r="Y420" s="3">
        <v>109.38855294136761</v>
      </c>
      <c r="Z420" s="4">
        <f t="shared" si="43"/>
        <v>0.9131131408089983</v>
      </c>
      <c r="AA420" s="5">
        <f t="shared" si="44"/>
        <v>122.39854756261855</v>
      </c>
      <c r="AB420" s="5">
        <f t="shared" si="45"/>
        <v>8.6333333333333329</v>
      </c>
      <c r="AC420" s="5">
        <f t="shared" si="46"/>
        <v>15</v>
      </c>
      <c r="AD420" s="5">
        <f t="shared" si="47"/>
        <v>2</v>
      </c>
      <c r="AE420" s="5" t="str">
        <f t="shared" si="48"/>
        <v>Shortage</v>
      </c>
    </row>
    <row r="421" spans="1:31" x14ac:dyDescent="0.25">
      <c r="A421" t="s">
        <v>1071</v>
      </c>
      <c r="B421" s="2">
        <v>46215</v>
      </c>
      <c r="C421" t="s">
        <v>1072</v>
      </c>
      <c r="D421" t="s">
        <v>561</v>
      </c>
      <c r="E421" t="s">
        <v>562</v>
      </c>
      <c r="F421" t="s">
        <v>49</v>
      </c>
      <c r="G421" t="s">
        <v>36</v>
      </c>
      <c r="H421" t="s">
        <v>50</v>
      </c>
      <c r="I421">
        <v>8</v>
      </c>
      <c r="J421">
        <v>22</v>
      </c>
      <c r="K421">
        <v>10</v>
      </c>
      <c r="L421">
        <v>12</v>
      </c>
      <c r="M421">
        <v>0</v>
      </c>
      <c r="N421">
        <v>22</v>
      </c>
      <c r="O421">
        <v>3</v>
      </c>
      <c r="P421">
        <v>53</v>
      </c>
      <c r="Q421">
        <v>7.12</v>
      </c>
      <c r="R421">
        <v>156.63999999999999</v>
      </c>
      <c r="S421">
        <v>22809</v>
      </c>
      <c r="T421">
        <v>19593</v>
      </c>
      <c r="U421">
        <v>197</v>
      </c>
      <c r="V421">
        <v>19396</v>
      </c>
      <c r="W421" s="3">
        <f t="shared" si="42"/>
        <v>123.82533197139939</v>
      </c>
      <c r="X421">
        <v>118.4084783141387</v>
      </c>
      <c r="Y421" s="3">
        <v>118.4084783141387</v>
      </c>
      <c r="Z421" s="4">
        <f t="shared" si="43"/>
        <v>1.045747177350677</v>
      </c>
      <c r="AA421" s="5">
        <f t="shared" si="44"/>
        <v>192.62978736613377</v>
      </c>
      <c r="AB421" s="5">
        <f t="shared" si="45"/>
        <v>7.1166666666666671</v>
      </c>
      <c r="AC421" s="5">
        <f t="shared" si="46"/>
        <v>28</v>
      </c>
      <c r="AD421" s="5">
        <f t="shared" si="47"/>
        <v>6</v>
      </c>
      <c r="AE421" s="5" t="str">
        <f t="shared" si="48"/>
        <v>Shortage</v>
      </c>
    </row>
    <row r="422" spans="1:31" x14ac:dyDescent="0.25">
      <c r="A422" t="s">
        <v>1073</v>
      </c>
      <c r="B422" s="2">
        <v>46216</v>
      </c>
      <c r="C422" t="s">
        <v>1074</v>
      </c>
      <c r="D422" t="s">
        <v>77</v>
      </c>
      <c r="E422" t="s">
        <v>78</v>
      </c>
      <c r="F422" t="s">
        <v>42</v>
      </c>
      <c r="G422" t="s">
        <v>36</v>
      </c>
      <c r="H422" t="s">
        <v>74</v>
      </c>
      <c r="I422">
        <v>9</v>
      </c>
      <c r="J422">
        <v>18</v>
      </c>
      <c r="K422">
        <v>8</v>
      </c>
      <c r="L422">
        <v>10</v>
      </c>
      <c r="M422">
        <v>0</v>
      </c>
      <c r="N422">
        <v>18</v>
      </c>
      <c r="O422">
        <v>0</v>
      </c>
      <c r="P422">
        <v>34</v>
      </c>
      <c r="Q422">
        <v>8.43</v>
      </c>
      <c r="R422">
        <v>151.74</v>
      </c>
      <c r="S422">
        <v>19322</v>
      </c>
      <c r="T422">
        <v>19279</v>
      </c>
      <c r="U422">
        <v>550</v>
      </c>
      <c r="V422">
        <v>18729</v>
      </c>
      <c r="W422" s="3">
        <f t="shared" si="42"/>
        <v>123.42823250296559</v>
      </c>
      <c r="X422">
        <v>112.98347693798689</v>
      </c>
      <c r="Y422" s="3">
        <v>112.98347693798689</v>
      </c>
      <c r="Z422" s="4">
        <f t="shared" si="43"/>
        <v>1.0924449826474316</v>
      </c>
      <c r="AA422" s="5">
        <f t="shared" si="44"/>
        <v>171.01615673064518</v>
      </c>
      <c r="AB422" s="5">
        <f t="shared" si="45"/>
        <v>8.4333333333333336</v>
      </c>
      <c r="AC422" s="5">
        <f t="shared" si="46"/>
        <v>21</v>
      </c>
      <c r="AD422" s="5">
        <f t="shared" si="47"/>
        <v>3</v>
      </c>
      <c r="AE422" s="5" t="str">
        <f t="shared" si="48"/>
        <v>Shortage</v>
      </c>
    </row>
    <row r="423" spans="1:31" x14ac:dyDescent="0.25">
      <c r="A423" t="s">
        <v>1075</v>
      </c>
      <c r="B423" s="2">
        <v>46216</v>
      </c>
      <c r="C423" t="s">
        <v>1076</v>
      </c>
      <c r="D423" t="s">
        <v>452</v>
      </c>
      <c r="E423" t="s">
        <v>453</v>
      </c>
      <c r="F423" t="s">
        <v>35</v>
      </c>
      <c r="G423" t="s">
        <v>36</v>
      </c>
      <c r="H423" t="s">
        <v>50</v>
      </c>
      <c r="I423">
        <v>8</v>
      </c>
      <c r="J423">
        <v>18</v>
      </c>
      <c r="K423">
        <v>5</v>
      </c>
      <c r="L423">
        <v>13</v>
      </c>
      <c r="M423">
        <v>2</v>
      </c>
      <c r="N423">
        <v>16</v>
      </c>
      <c r="O423">
        <v>1</v>
      </c>
      <c r="P423">
        <v>47</v>
      </c>
      <c r="Q423">
        <v>7.22</v>
      </c>
      <c r="R423">
        <v>115.52</v>
      </c>
      <c r="S423">
        <v>15255</v>
      </c>
      <c r="T423">
        <v>13579</v>
      </c>
      <c r="U423">
        <v>397</v>
      </c>
      <c r="V423">
        <v>13182</v>
      </c>
      <c r="W423" s="3">
        <f t="shared" si="42"/>
        <v>114.1101108033241</v>
      </c>
      <c r="X423">
        <v>114.1563708384419</v>
      </c>
      <c r="Y423" s="3">
        <v>114.1563708384419</v>
      </c>
      <c r="Z423" s="4">
        <f t="shared" si="43"/>
        <v>0.99959476606712327</v>
      </c>
      <c r="AA423" s="5">
        <f t="shared" si="44"/>
        <v>133.63248925974889</v>
      </c>
      <c r="AB423" s="5">
        <f t="shared" si="45"/>
        <v>7.2166666666666668</v>
      </c>
      <c r="AC423" s="5">
        <f t="shared" si="46"/>
        <v>19</v>
      </c>
      <c r="AD423" s="5">
        <f t="shared" si="47"/>
        <v>3</v>
      </c>
      <c r="AE423" s="5" t="str">
        <f t="shared" si="48"/>
        <v>Shortage</v>
      </c>
    </row>
    <row r="424" spans="1:31" x14ac:dyDescent="0.25">
      <c r="A424" t="s">
        <v>1077</v>
      </c>
      <c r="B424" s="2">
        <v>46216</v>
      </c>
      <c r="C424" t="s">
        <v>1078</v>
      </c>
      <c r="D424" t="s">
        <v>193</v>
      </c>
      <c r="E424" t="s">
        <v>135</v>
      </c>
      <c r="F424" t="s">
        <v>42</v>
      </c>
      <c r="G424" t="s">
        <v>43</v>
      </c>
      <c r="H424" t="s">
        <v>74</v>
      </c>
      <c r="I424">
        <v>10</v>
      </c>
      <c r="J424">
        <v>18</v>
      </c>
      <c r="K424">
        <v>7</v>
      </c>
      <c r="L424">
        <v>11</v>
      </c>
      <c r="M424">
        <v>1</v>
      </c>
      <c r="N424">
        <v>17</v>
      </c>
      <c r="O424">
        <v>1</v>
      </c>
      <c r="P424">
        <v>41</v>
      </c>
      <c r="Q424">
        <v>9.32</v>
      </c>
      <c r="R424">
        <v>158.44</v>
      </c>
      <c r="S424">
        <v>22544</v>
      </c>
      <c r="T424">
        <v>19109</v>
      </c>
      <c r="U424">
        <v>859</v>
      </c>
      <c r="V424">
        <v>18250</v>
      </c>
      <c r="W424" s="3">
        <f t="shared" si="42"/>
        <v>115.18555920222167</v>
      </c>
      <c r="X424">
        <v>115.1855592022217</v>
      </c>
      <c r="Y424" s="3">
        <v>115.1855592022217</v>
      </c>
      <c r="Z424" s="4">
        <f t="shared" si="43"/>
        <v>0.99999999999999978</v>
      </c>
      <c r="AA424" s="5">
        <f t="shared" si="44"/>
        <v>195.71897863013692</v>
      </c>
      <c r="AB424" s="5">
        <f t="shared" si="45"/>
        <v>9.3166666666666664</v>
      </c>
      <c r="AC424" s="5">
        <f t="shared" si="46"/>
        <v>22</v>
      </c>
      <c r="AD424" s="5">
        <f t="shared" si="47"/>
        <v>5</v>
      </c>
      <c r="AE424" s="5" t="str">
        <f t="shared" si="48"/>
        <v>Shortage</v>
      </c>
    </row>
    <row r="425" spans="1:31" x14ac:dyDescent="0.25">
      <c r="A425" t="s">
        <v>1079</v>
      </c>
      <c r="B425" s="2">
        <v>46218</v>
      </c>
      <c r="C425" t="s">
        <v>1080</v>
      </c>
      <c r="D425" t="s">
        <v>953</v>
      </c>
      <c r="E425" t="s">
        <v>954</v>
      </c>
      <c r="F425" t="s">
        <v>49</v>
      </c>
      <c r="G425" t="s">
        <v>36</v>
      </c>
      <c r="H425" t="s">
        <v>88</v>
      </c>
      <c r="I425">
        <v>8</v>
      </c>
      <c r="J425">
        <v>21</v>
      </c>
      <c r="K425">
        <v>8</v>
      </c>
      <c r="L425">
        <v>13</v>
      </c>
      <c r="M425">
        <v>0</v>
      </c>
      <c r="N425">
        <v>21</v>
      </c>
      <c r="O425">
        <v>0</v>
      </c>
      <c r="P425">
        <v>5</v>
      </c>
      <c r="Q425">
        <v>7.92</v>
      </c>
      <c r="R425">
        <v>166.32</v>
      </c>
      <c r="S425">
        <v>21490</v>
      </c>
      <c r="T425">
        <v>18054</v>
      </c>
      <c r="U425">
        <v>102</v>
      </c>
      <c r="V425">
        <v>17952</v>
      </c>
      <c r="W425" s="3">
        <f t="shared" si="42"/>
        <v>107.93650793650794</v>
      </c>
      <c r="X425">
        <v>118.4084783141387</v>
      </c>
      <c r="Y425" s="3">
        <v>118.4084783141387</v>
      </c>
      <c r="Z425" s="4">
        <f t="shared" si="43"/>
        <v>0.91156063715430458</v>
      </c>
      <c r="AA425" s="5">
        <f t="shared" si="44"/>
        <v>181.49038232707329</v>
      </c>
      <c r="AB425" s="5">
        <f t="shared" si="45"/>
        <v>7.916666666666667</v>
      </c>
      <c r="AC425" s="5">
        <f t="shared" si="46"/>
        <v>23</v>
      </c>
      <c r="AD425" s="5">
        <f t="shared" si="47"/>
        <v>2</v>
      </c>
      <c r="AE425" s="5" t="str">
        <f t="shared" si="48"/>
        <v>Shortage</v>
      </c>
    </row>
    <row r="426" spans="1:31" x14ac:dyDescent="0.25">
      <c r="A426" t="s">
        <v>1081</v>
      </c>
      <c r="B426" s="2">
        <v>46218</v>
      </c>
      <c r="C426" t="s">
        <v>1082</v>
      </c>
      <c r="D426" t="s">
        <v>224</v>
      </c>
      <c r="E426" t="s">
        <v>225</v>
      </c>
      <c r="F426" t="s">
        <v>49</v>
      </c>
      <c r="G426" t="s">
        <v>36</v>
      </c>
      <c r="H426" t="s">
        <v>88</v>
      </c>
      <c r="I426">
        <v>8</v>
      </c>
      <c r="J426">
        <v>22</v>
      </c>
      <c r="K426">
        <v>10</v>
      </c>
      <c r="L426">
        <v>12</v>
      </c>
      <c r="M426">
        <v>2</v>
      </c>
      <c r="N426">
        <v>20</v>
      </c>
      <c r="O426">
        <v>1</v>
      </c>
      <c r="P426">
        <v>30</v>
      </c>
      <c r="Q426">
        <v>7.5</v>
      </c>
      <c r="R426">
        <v>150</v>
      </c>
      <c r="S426">
        <v>21199</v>
      </c>
      <c r="T426">
        <v>19330</v>
      </c>
      <c r="U426">
        <v>529</v>
      </c>
      <c r="V426">
        <v>18801</v>
      </c>
      <c r="W426" s="3">
        <f t="shared" si="42"/>
        <v>125.34</v>
      </c>
      <c r="X426">
        <v>118.4084783141387</v>
      </c>
      <c r="Y426" s="3">
        <v>118.4084783141387</v>
      </c>
      <c r="Z426" s="4">
        <f t="shared" si="43"/>
        <v>1.0585390656526461</v>
      </c>
      <c r="AA426" s="5">
        <f t="shared" si="44"/>
        <v>179.0327880386983</v>
      </c>
      <c r="AB426" s="5">
        <f t="shared" si="45"/>
        <v>7.5</v>
      </c>
      <c r="AC426" s="5">
        <f t="shared" si="46"/>
        <v>24</v>
      </c>
      <c r="AD426" s="5">
        <f t="shared" si="47"/>
        <v>4</v>
      </c>
      <c r="AE426" s="5" t="str">
        <f t="shared" si="48"/>
        <v>Shortage</v>
      </c>
    </row>
    <row r="427" spans="1:31" x14ac:dyDescent="0.25">
      <c r="A427" t="s">
        <v>1083</v>
      </c>
      <c r="B427" s="2">
        <v>46218</v>
      </c>
      <c r="C427" t="s">
        <v>1084</v>
      </c>
      <c r="D427" t="s">
        <v>261</v>
      </c>
      <c r="E427" t="s">
        <v>262</v>
      </c>
      <c r="F427" t="s">
        <v>68</v>
      </c>
      <c r="G427" t="s">
        <v>36</v>
      </c>
      <c r="H427" t="s">
        <v>50</v>
      </c>
      <c r="I427">
        <v>8</v>
      </c>
      <c r="J427">
        <v>23</v>
      </c>
      <c r="K427">
        <v>8</v>
      </c>
      <c r="L427">
        <v>15</v>
      </c>
      <c r="M427">
        <v>1</v>
      </c>
      <c r="N427">
        <v>22</v>
      </c>
      <c r="O427">
        <v>0</v>
      </c>
      <c r="P427">
        <v>17</v>
      </c>
      <c r="Q427">
        <v>7.72</v>
      </c>
      <c r="R427">
        <v>169.84</v>
      </c>
      <c r="S427">
        <v>25312</v>
      </c>
      <c r="T427">
        <v>23430</v>
      </c>
      <c r="U427">
        <v>797</v>
      </c>
      <c r="V427">
        <v>22633</v>
      </c>
      <c r="W427" s="3">
        <f t="shared" si="42"/>
        <v>133.26071596796984</v>
      </c>
      <c r="X427">
        <v>120.8174989437542</v>
      </c>
      <c r="Y427" s="3">
        <v>120.8174989437542</v>
      </c>
      <c r="Z427" s="4">
        <f t="shared" si="43"/>
        <v>1.1029918441699285</v>
      </c>
      <c r="AA427" s="5">
        <f t="shared" si="44"/>
        <v>209.50607504119776</v>
      </c>
      <c r="AB427" s="5">
        <f t="shared" si="45"/>
        <v>7.7166666666666668</v>
      </c>
      <c r="AC427" s="5">
        <f t="shared" si="46"/>
        <v>28</v>
      </c>
      <c r="AD427" s="5">
        <f t="shared" si="47"/>
        <v>6</v>
      </c>
      <c r="AE427" s="5" t="str">
        <f t="shared" si="48"/>
        <v>Shortage</v>
      </c>
    </row>
    <row r="428" spans="1:31" x14ac:dyDescent="0.25">
      <c r="A428" t="s">
        <v>1085</v>
      </c>
      <c r="B428" s="2">
        <v>46218</v>
      </c>
      <c r="C428" t="s">
        <v>1086</v>
      </c>
      <c r="D428" t="s">
        <v>841</v>
      </c>
      <c r="E428" t="s">
        <v>842</v>
      </c>
      <c r="F428" t="s">
        <v>35</v>
      </c>
      <c r="G428" t="s">
        <v>36</v>
      </c>
      <c r="H428" t="s">
        <v>69</v>
      </c>
      <c r="I428">
        <v>8</v>
      </c>
      <c r="J428">
        <v>19</v>
      </c>
      <c r="K428">
        <v>8</v>
      </c>
      <c r="L428">
        <v>11</v>
      </c>
      <c r="M428">
        <v>0</v>
      </c>
      <c r="N428">
        <v>19</v>
      </c>
      <c r="O428">
        <v>0</v>
      </c>
      <c r="P428">
        <v>27</v>
      </c>
      <c r="Q428">
        <v>7.55</v>
      </c>
      <c r="R428">
        <v>143.44999999999999</v>
      </c>
      <c r="S428">
        <v>19866</v>
      </c>
      <c r="T428">
        <v>17903</v>
      </c>
      <c r="U428">
        <v>530</v>
      </c>
      <c r="V428">
        <v>17373</v>
      </c>
      <c r="W428" s="3">
        <f t="shared" si="42"/>
        <v>121.10840013942141</v>
      </c>
      <c r="X428">
        <v>114.1563708384419</v>
      </c>
      <c r="Y428" s="3">
        <v>114.1563708384419</v>
      </c>
      <c r="Z428" s="4">
        <f t="shared" si="43"/>
        <v>1.0608991793442546</v>
      </c>
      <c r="AA428" s="5">
        <f t="shared" si="44"/>
        <v>174.02445307336424</v>
      </c>
      <c r="AB428" s="5">
        <f t="shared" si="45"/>
        <v>7.55</v>
      </c>
      <c r="AC428" s="5">
        <f t="shared" si="46"/>
        <v>24</v>
      </c>
      <c r="AD428" s="5">
        <f t="shared" si="47"/>
        <v>5</v>
      </c>
      <c r="AE428" s="5" t="str">
        <f t="shared" si="48"/>
        <v>Shortage</v>
      </c>
    </row>
    <row r="429" spans="1:31" x14ac:dyDescent="0.25">
      <c r="A429" t="s">
        <v>1087</v>
      </c>
      <c r="B429" s="2">
        <v>46222</v>
      </c>
      <c r="C429" t="s">
        <v>1088</v>
      </c>
      <c r="D429" t="s">
        <v>542</v>
      </c>
      <c r="E429" t="s">
        <v>108</v>
      </c>
      <c r="F429" t="s">
        <v>55</v>
      </c>
      <c r="G429" t="s">
        <v>79</v>
      </c>
      <c r="H429" t="s">
        <v>74</v>
      </c>
      <c r="I429">
        <v>9</v>
      </c>
      <c r="J429">
        <v>13</v>
      </c>
      <c r="K429">
        <v>5</v>
      </c>
      <c r="L429">
        <v>8</v>
      </c>
      <c r="M429">
        <v>3</v>
      </c>
      <c r="N429">
        <v>10</v>
      </c>
      <c r="O429">
        <v>2</v>
      </c>
      <c r="P429">
        <v>14</v>
      </c>
      <c r="Q429">
        <v>8.77</v>
      </c>
      <c r="R429">
        <v>87.7</v>
      </c>
      <c r="S429">
        <v>9176</v>
      </c>
      <c r="T429">
        <v>8496</v>
      </c>
      <c r="U429">
        <v>137</v>
      </c>
      <c r="V429">
        <v>8359</v>
      </c>
      <c r="W429" s="3">
        <f t="shared" si="42"/>
        <v>95.31356898517673</v>
      </c>
      <c r="X429">
        <v>99.520305551967823</v>
      </c>
      <c r="Y429" s="3">
        <v>99.520305551967823</v>
      </c>
      <c r="Z429" s="4">
        <f t="shared" si="43"/>
        <v>0.95772986685019368</v>
      </c>
      <c r="AA429" s="5">
        <f t="shared" si="44"/>
        <v>92.20228926255102</v>
      </c>
      <c r="AB429" s="5">
        <f t="shared" si="45"/>
        <v>8.7666666666666675</v>
      </c>
      <c r="AC429" s="5">
        <f t="shared" si="46"/>
        <v>11</v>
      </c>
      <c r="AD429" s="5">
        <f t="shared" si="47"/>
        <v>1</v>
      </c>
      <c r="AE429" s="5" t="str">
        <f t="shared" si="48"/>
        <v>Shortage</v>
      </c>
    </row>
    <row r="430" spans="1:31" x14ac:dyDescent="0.25">
      <c r="A430" t="s">
        <v>1089</v>
      </c>
      <c r="B430" s="2">
        <v>46223</v>
      </c>
      <c r="C430" t="s">
        <v>1090</v>
      </c>
      <c r="D430" t="s">
        <v>170</v>
      </c>
      <c r="E430" t="s">
        <v>171</v>
      </c>
      <c r="F430" t="s">
        <v>42</v>
      </c>
      <c r="G430" t="s">
        <v>43</v>
      </c>
      <c r="H430" t="s">
        <v>74</v>
      </c>
      <c r="I430">
        <v>8</v>
      </c>
      <c r="J430">
        <v>22</v>
      </c>
      <c r="K430">
        <v>11</v>
      </c>
      <c r="L430">
        <v>11</v>
      </c>
      <c r="M430">
        <v>1</v>
      </c>
      <c r="N430">
        <v>21</v>
      </c>
      <c r="O430">
        <v>0</v>
      </c>
      <c r="P430">
        <v>58</v>
      </c>
      <c r="Q430">
        <v>7.03</v>
      </c>
      <c r="R430">
        <v>147.63</v>
      </c>
      <c r="S430">
        <v>22303</v>
      </c>
      <c r="T430">
        <v>18865</v>
      </c>
      <c r="U430">
        <v>278</v>
      </c>
      <c r="V430">
        <v>18587</v>
      </c>
      <c r="W430" s="3">
        <f t="shared" si="42"/>
        <v>125.90259432364697</v>
      </c>
      <c r="X430">
        <v>115.1855592022217</v>
      </c>
      <c r="Y430" s="3">
        <v>115.1855592022217</v>
      </c>
      <c r="Z430" s="4">
        <f t="shared" si="43"/>
        <v>1.0930414818980065</v>
      </c>
      <c r="AA430" s="5">
        <f t="shared" si="44"/>
        <v>193.62670246575337</v>
      </c>
      <c r="AB430" s="5">
        <f t="shared" si="45"/>
        <v>7.0333333333333332</v>
      </c>
      <c r="AC430" s="5">
        <f t="shared" si="46"/>
        <v>28</v>
      </c>
      <c r="AD430" s="5">
        <f t="shared" si="47"/>
        <v>7</v>
      </c>
      <c r="AE430" s="5" t="str">
        <f t="shared" si="48"/>
        <v>Shortage</v>
      </c>
    </row>
    <row r="431" spans="1:31" x14ac:dyDescent="0.25">
      <c r="A431" t="s">
        <v>1091</v>
      </c>
      <c r="B431" s="2">
        <v>46223</v>
      </c>
      <c r="C431" t="s">
        <v>1092</v>
      </c>
      <c r="D431" t="s">
        <v>799</v>
      </c>
      <c r="E431" t="s">
        <v>800</v>
      </c>
      <c r="F431" t="s">
        <v>49</v>
      </c>
      <c r="G431" t="s">
        <v>79</v>
      </c>
      <c r="H431" t="s">
        <v>88</v>
      </c>
      <c r="I431">
        <v>8</v>
      </c>
      <c r="J431">
        <v>21</v>
      </c>
      <c r="K431">
        <v>10</v>
      </c>
      <c r="L431">
        <v>11</v>
      </c>
      <c r="M431">
        <v>0</v>
      </c>
      <c r="N431">
        <v>21</v>
      </c>
      <c r="O431">
        <v>0</v>
      </c>
      <c r="P431">
        <v>18</v>
      </c>
      <c r="Q431">
        <v>7.7</v>
      </c>
      <c r="R431">
        <v>161.69999999999999</v>
      </c>
      <c r="S431">
        <v>18875</v>
      </c>
      <c r="T431">
        <v>18388</v>
      </c>
      <c r="U431">
        <v>301</v>
      </c>
      <c r="V431">
        <v>18087</v>
      </c>
      <c r="W431" s="3">
        <f t="shared" si="42"/>
        <v>111.85528756957329</v>
      </c>
      <c r="X431">
        <v>107.36289227751951</v>
      </c>
      <c r="Y431" s="3">
        <v>107.36289227751951</v>
      </c>
      <c r="Z431" s="4">
        <f t="shared" si="43"/>
        <v>1.0418430911905905</v>
      </c>
      <c r="AA431" s="5">
        <f t="shared" si="44"/>
        <v>175.80562147311113</v>
      </c>
      <c r="AB431" s="5">
        <f t="shared" si="45"/>
        <v>7.7</v>
      </c>
      <c r="AC431" s="5">
        <f t="shared" si="46"/>
        <v>23</v>
      </c>
      <c r="AD431" s="5">
        <f t="shared" si="47"/>
        <v>2</v>
      </c>
      <c r="AE431" s="5" t="str">
        <f t="shared" si="48"/>
        <v>Shortage</v>
      </c>
    </row>
    <row r="432" spans="1:31" x14ac:dyDescent="0.25">
      <c r="A432" t="s">
        <v>1093</v>
      </c>
      <c r="B432" s="2">
        <v>46225</v>
      </c>
      <c r="C432" t="s">
        <v>1094</v>
      </c>
      <c r="D432" t="s">
        <v>395</v>
      </c>
      <c r="E432" t="s">
        <v>143</v>
      </c>
      <c r="F432" t="s">
        <v>49</v>
      </c>
      <c r="G432" t="s">
        <v>36</v>
      </c>
      <c r="H432" t="s">
        <v>74</v>
      </c>
      <c r="I432">
        <v>8</v>
      </c>
      <c r="J432">
        <v>20</v>
      </c>
      <c r="K432">
        <v>6</v>
      </c>
      <c r="L432">
        <v>14</v>
      </c>
      <c r="M432">
        <v>2</v>
      </c>
      <c r="N432">
        <v>18</v>
      </c>
      <c r="O432">
        <v>2</v>
      </c>
      <c r="P432">
        <v>38</v>
      </c>
      <c r="Q432">
        <v>7.37</v>
      </c>
      <c r="R432">
        <v>132.66</v>
      </c>
      <c r="S432">
        <v>18855</v>
      </c>
      <c r="T432">
        <v>15073</v>
      </c>
      <c r="U432">
        <v>380</v>
      </c>
      <c r="V432">
        <v>14693</v>
      </c>
      <c r="W432" s="3">
        <f t="shared" si="42"/>
        <v>110.7568219508518</v>
      </c>
      <c r="X432">
        <v>118.4084783141387</v>
      </c>
      <c r="Y432" s="3">
        <v>118.4084783141387</v>
      </c>
      <c r="Z432" s="4">
        <f t="shared" si="43"/>
        <v>0.93537915128858429</v>
      </c>
      <c r="AA432" s="5">
        <f t="shared" si="44"/>
        <v>159.23690827254381</v>
      </c>
      <c r="AB432" s="5">
        <f t="shared" si="45"/>
        <v>7.3666666666666671</v>
      </c>
      <c r="AC432" s="5">
        <f t="shared" si="46"/>
        <v>22</v>
      </c>
      <c r="AD432" s="5">
        <f t="shared" si="47"/>
        <v>4</v>
      </c>
      <c r="AE432" s="5" t="str">
        <f t="shared" si="48"/>
        <v>Shortage</v>
      </c>
    </row>
    <row r="433" spans="1:31" x14ac:dyDescent="0.25">
      <c r="A433" t="s">
        <v>1095</v>
      </c>
      <c r="B433" s="2">
        <v>46226</v>
      </c>
      <c r="C433" t="s">
        <v>1096</v>
      </c>
      <c r="D433" t="s">
        <v>402</v>
      </c>
      <c r="E433" t="s">
        <v>403</v>
      </c>
      <c r="F433" t="s">
        <v>68</v>
      </c>
      <c r="G433" t="s">
        <v>36</v>
      </c>
      <c r="H433" t="s">
        <v>37</v>
      </c>
      <c r="I433">
        <v>8</v>
      </c>
      <c r="J433">
        <v>22</v>
      </c>
      <c r="K433">
        <v>10</v>
      </c>
      <c r="L433">
        <v>12</v>
      </c>
      <c r="M433">
        <v>1</v>
      </c>
      <c r="N433">
        <v>21</v>
      </c>
      <c r="O433">
        <v>0</v>
      </c>
      <c r="P433">
        <v>44</v>
      </c>
      <c r="Q433">
        <v>7.27</v>
      </c>
      <c r="R433">
        <v>152.66999999999999</v>
      </c>
      <c r="S433">
        <v>22144</v>
      </c>
      <c r="T433">
        <v>17574</v>
      </c>
      <c r="U433">
        <v>517</v>
      </c>
      <c r="V433">
        <v>17057</v>
      </c>
      <c r="W433" s="3">
        <f t="shared" si="42"/>
        <v>111.7246348333006</v>
      </c>
      <c r="X433">
        <v>120.8174989437542</v>
      </c>
      <c r="Y433" s="3">
        <v>120.8174989437542</v>
      </c>
      <c r="Z433" s="4">
        <f t="shared" si="43"/>
        <v>0.92473884834607667</v>
      </c>
      <c r="AA433" s="5">
        <f t="shared" si="44"/>
        <v>183.28470787422106</v>
      </c>
      <c r="AB433" s="5">
        <f t="shared" si="45"/>
        <v>7.2666666666666666</v>
      </c>
      <c r="AC433" s="5">
        <f t="shared" si="46"/>
        <v>26</v>
      </c>
      <c r="AD433" s="5">
        <f t="shared" si="47"/>
        <v>5</v>
      </c>
      <c r="AE433" s="5" t="str">
        <f t="shared" si="48"/>
        <v>Shortage</v>
      </c>
    </row>
    <row r="434" spans="1:31" x14ac:dyDescent="0.25">
      <c r="A434" t="s">
        <v>1097</v>
      </c>
      <c r="B434" s="2">
        <v>46230</v>
      </c>
      <c r="C434" t="s">
        <v>1098</v>
      </c>
      <c r="D434" t="s">
        <v>236</v>
      </c>
      <c r="E434" t="s">
        <v>237</v>
      </c>
      <c r="F434" t="s">
        <v>55</v>
      </c>
      <c r="G434" t="s">
        <v>79</v>
      </c>
      <c r="H434" t="s">
        <v>44</v>
      </c>
      <c r="I434">
        <v>8</v>
      </c>
      <c r="J434">
        <v>14</v>
      </c>
      <c r="K434">
        <v>6</v>
      </c>
      <c r="L434">
        <v>8</v>
      </c>
      <c r="M434">
        <v>1</v>
      </c>
      <c r="N434">
        <v>13</v>
      </c>
      <c r="O434">
        <v>0</v>
      </c>
      <c r="P434">
        <v>11</v>
      </c>
      <c r="Q434">
        <v>7.82</v>
      </c>
      <c r="R434">
        <v>101.66</v>
      </c>
      <c r="S434">
        <v>11331</v>
      </c>
      <c r="T434">
        <v>10430</v>
      </c>
      <c r="U434">
        <v>262</v>
      </c>
      <c r="V434">
        <v>10168</v>
      </c>
      <c r="W434" s="3">
        <f t="shared" si="42"/>
        <v>100.01967342120795</v>
      </c>
      <c r="X434">
        <v>99.520305551967823</v>
      </c>
      <c r="Y434" s="3">
        <v>99.520305551967823</v>
      </c>
      <c r="Z434" s="4">
        <f t="shared" si="43"/>
        <v>1.0050177485536294</v>
      </c>
      <c r="AA434" s="5">
        <f t="shared" si="44"/>
        <v>113.85616168635197</v>
      </c>
      <c r="AB434" s="5">
        <f t="shared" si="45"/>
        <v>7.8166666666666664</v>
      </c>
      <c r="AC434" s="5">
        <f t="shared" si="46"/>
        <v>15</v>
      </c>
      <c r="AD434" s="5">
        <f t="shared" si="47"/>
        <v>2</v>
      </c>
      <c r="AE434" s="5" t="str">
        <f t="shared" si="48"/>
        <v>Shortage</v>
      </c>
    </row>
    <row r="435" spans="1:31" x14ac:dyDescent="0.25">
      <c r="A435" t="s">
        <v>1099</v>
      </c>
      <c r="B435" s="2">
        <v>46231</v>
      </c>
      <c r="C435" t="s">
        <v>1100</v>
      </c>
      <c r="D435" t="s">
        <v>95</v>
      </c>
      <c r="E435" t="s">
        <v>96</v>
      </c>
      <c r="F435" t="s">
        <v>68</v>
      </c>
      <c r="G435" t="s">
        <v>36</v>
      </c>
      <c r="H435" t="s">
        <v>69</v>
      </c>
      <c r="I435">
        <v>10</v>
      </c>
      <c r="J435">
        <v>24</v>
      </c>
      <c r="K435">
        <v>10</v>
      </c>
      <c r="L435">
        <v>14</v>
      </c>
      <c r="M435">
        <v>0</v>
      </c>
      <c r="N435">
        <v>24</v>
      </c>
      <c r="O435">
        <v>0</v>
      </c>
      <c r="P435">
        <v>24</v>
      </c>
      <c r="Q435">
        <v>9.6</v>
      </c>
      <c r="R435">
        <v>230.4</v>
      </c>
      <c r="S435">
        <v>35419</v>
      </c>
      <c r="T435">
        <v>28883</v>
      </c>
      <c r="U435">
        <v>1073</v>
      </c>
      <c r="V435">
        <v>27810</v>
      </c>
      <c r="W435" s="3">
        <f t="shared" si="42"/>
        <v>120.703125</v>
      </c>
      <c r="X435">
        <v>120.8174989437542</v>
      </c>
      <c r="Y435" s="3">
        <v>120.8174989437542</v>
      </c>
      <c r="Z435" s="4">
        <f t="shared" si="43"/>
        <v>0.99905333296290588</v>
      </c>
      <c r="AA435" s="5">
        <f t="shared" si="44"/>
        <v>293.16117540629676</v>
      </c>
      <c r="AB435" s="5">
        <f t="shared" si="45"/>
        <v>9.6</v>
      </c>
      <c r="AC435" s="5">
        <f t="shared" si="46"/>
        <v>31</v>
      </c>
      <c r="AD435" s="5">
        <f t="shared" si="47"/>
        <v>7</v>
      </c>
      <c r="AE435" s="5" t="str">
        <f t="shared" si="48"/>
        <v>Shortage</v>
      </c>
    </row>
    <row r="436" spans="1:31" x14ac:dyDescent="0.25">
      <c r="A436" t="s">
        <v>1101</v>
      </c>
      <c r="B436" s="2">
        <v>46232</v>
      </c>
      <c r="C436" t="s">
        <v>1102</v>
      </c>
      <c r="D436" t="s">
        <v>82</v>
      </c>
      <c r="E436" t="s">
        <v>83</v>
      </c>
      <c r="F436" t="s">
        <v>49</v>
      </c>
      <c r="G436" t="s">
        <v>43</v>
      </c>
      <c r="H436" t="s">
        <v>44</v>
      </c>
      <c r="I436">
        <v>8</v>
      </c>
      <c r="J436">
        <v>23</v>
      </c>
      <c r="K436">
        <v>8</v>
      </c>
      <c r="L436">
        <v>15</v>
      </c>
      <c r="M436">
        <v>0</v>
      </c>
      <c r="N436">
        <v>23</v>
      </c>
      <c r="O436">
        <v>0</v>
      </c>
      <c r="P436">
        <v>57</v>
      </c>
      <c r="Q436">
        <v>7.05</v>
      </c>
      <c r="R436">
        <v>162.15</v>
      </c>
      <c r="S436">
        <v>18763</v>
      </c>
      <c r="T436">
        <v>15791</v>
      </c>
      <c r="U436">
        <v>239</v>
      </c>
      <c r="V436">
        <v>15552</v>
      </c>
      <c r="W436" s="3">
        <f t="shared" si="42"/>
        <v>95.911193339500457</v>
      </c>
      <c r="X436">
        <v>124.78240035826239</v>
      </c>
      <c r="Y436" s="3">
        <v>124.78240035826239</v>
      </c>
      <c r="Z436" s="4">
        <f t="shared" si="43"/>
        <v>0.76862757138931537</v>
      </c>
      <c r="AA436" s="5">
        <f t="shared" si="44"/>
        <v>150.36575627756483</v>
      </c>
      <c r="AB436" s="5">
        <f t="shared" si="45"/>
        <v>7.05</v>
      </c>
      <c r="AC436" s="5">
        <f t="shared" si="46"/>
        <v>22</v>
      </c>
      <c r="AD436" s="5">
        <f t="shared" si="47"/>
        <v>-1</v>
      </c>
      <c r="AE436" s="5" t="str">
        <f t="shared" si="48"/>
        <v>Surplus</v>
      </c>
    </row>
    <row r="437" spans="1:31" x14ac:dyDescent="0.25">
      <c r="A437" t="s">
        <v>1103</v>
      </c>
      <c r="B437" s="2">
        <v>46233</v>
      </c>
      <c r="C437" t="s">
        <v>1104</v>
      </c>
      <c r="D437" t="s">
        <v>236</v>
      </c>
      <c r="E437" t="s">
        <v>237</v>
      </c>
      <c r="F437" t="s">
        <v>55</v>
      </c>
      <c r="G437" t="s">
        <v>43</v>
      </c>
      <c r="H437" t="s">
        <v>88</v>
      </c>
      <c r="I437">
        <v>8</v>
      </c>
      <c r="J437">
        <v>16</v>
      </c>
      <c r="K437">
        <v>6</v>
      </c>
      <c r="L437">
        <v>10</v>
      </c>
      <c r="M437">
        <v>2</v>
      </c>
      <c r="N437">
        <v>14</v>
      </c>
      <c r="O437">
        <v>3</v>
      </c>
      <c r="P437">
        <v>55</v>
      </c>
      <c r="Q437">
        <v>7.08</v>
      </c>
      <c r="R437">
        <v>99.12</v>
      </c>
      <c r="S437">
        <v>12866</v>
      </c>
      <c r="T437">
        <v>11141</v>
      </c>
      <c r="U437">
        <v>313</v>
      </c>
      <c r="V437">
        <v>10828</v>
      </c>
      <c r="W437" s="3">
        <f t="shared" si="42"/>
        <v>109.2413236481033</v>
      </c>
      <c r="X437">
        <v>109.38855294136761</v>
      </c>
      <c r="Y437" s="3">
        <v>109.38855294136761</v>
      </c>
      <c r="Z437" s="4">
        <f t="shared" si="43"/>
        <v>0.9986540703820882</v>
      </c>
      <c r="AA437" s="5">
        <f t="shared" si="44"/>
        <v>117.61742571817538</v>
      </c>
      <c r="AB437" s="5">
        <f t="shared" si="45"/>
        <v>7.083333333333333</v>
      </c>
      <c r="AC437" s="5">
        <f t="shared" si="46"/>
        <v>17</v>
      </c>
      <c r="AD437" s="5">
        <f t="shared" si="47"/>
        <v>3</v>
      </c>
      <c r="AE437" s="5" t="str">
        <f t="shared" si="48"/>
        <v>Shortage</v>
      </c>
    </row>
    <row r="438" spans="1:31" x14ac:dyDescent="0.25">
      <c r="A438" t="s">
        <v>1105</v>
      </c>
      <c r="B438" s="2">
        <v>46233</v>
      </c>
      <c r="C438" t="s">
        <v>1106</v>
      </c>
      <c r="D438" t="s">
        <v>99</v>
      </c>
      <c r="E438" t="s">
        <v>100</v>
      </c>
      <c r="F438" t="s">
        <v>49</v>
      </c>
      <c r="G438" t="s">
        <v>79</v>
      </c>
      <c r="H438" t="s">
        <v>37</v>
      </c>
      <c r="I438">
        <v>8</v>
      </c>
      <c r="J438">
        <v>18</v>
      </c>
      <c r="K438">
        <v>8</v>
      </c>
      <c r="L438">
        <v>10</v>
      </c>
      <c r="M438">
        <v>0</v>
      </c>
      <c r="N438">
        <v>18</v>
      </c>
      <c r="O438">
        <v>3</v>
      </c>
      <c r="P438">
        <v>30</v>
      </c>
      <c r="Q438">
        <v>7.5</v>
      </c>
      <c r="R438">
        <v>135</v>
      </c>
      <c r="S438">
        <v>12845</v>
      </c>
      <c r="T438">
        <v>10929</v>
      </c>
      <c r="U438">
        <v>236</v>
      </c>
      <c r="V438">
        <v>10693</v>
      </c>
      <c r="W438" s="3">
        <f t="shared" si="42"/>
        <v>79.207407407407402</v>
      </c>
      <c r="X438">
        <v>107.36289227751951</v>
      </c>
      <c r="Y438" s="3">
        <v>107.36289227751951</v>
      </c>
      <c r="Z438" s="4">
        <f t="shared" si="43"/>
        <v>0.73775403891566427</v>
      </c>
      <c r="AA438" s="5">
        <f t="shared" si="44"/>
        <v>119.64096465282715</v>
      </c>
      <c r="AB438" s="5">
        <f t="shared" si="45"/>
        <v>7.5</v>
      </c>
      <c r="AC438" s="5">
        <f t="shared" si="46"/>
        <v>16</v>
      </c>
      <c r="AD438" s="5">
        <f t="shared" si="47"/>
        <v>-2</v>
      </c>
      <c r="AE438" s="5" t="str">
        <f t="shared" si="48"/>
        <v>Surplus</v>
      </c>
    </row>
    <row r="439" spans="1:31" x14ac:dyDescent="0.25">
      <c r="A439" t="s">
        <v>1107</v>
      </c>
      <c r="B439" s="2">
        <v>46234</v>
      </c>
      <c r="C439" t="s">
        <v>1108</v>
      </c>
      <c r="D439" t="s">
        <v>257</v>
      </c>
      <c r="E439" t="s">
        <v>258</v>
      </c>
      <c r="F439" t="s">
        <v>55</v>
      </c>
      <c r="G439" t="s">
        <v>36</v>
      </c>
      <c r="H439" t="s">
        <v>50</v>
      </c>
      <c r="I439">
        <v>8</v>
      </c>
      <c r="J439">
        <v>13</v>
      </c>
      <c r="K439">
        <v>6</v>
      </c>
      <c r="L439">
        <v>7</v>
      </c>
      <c r="M439">
        <v>1</v>
      </c>
      <c r="N439">
        <v>12</v>
      </c>
      <c r="O439">
        <v>0</v>
      </c>
      <c r="P439">
        <v>53</v>
      </c>
      <c r="Q439">
        <v>7.12</v>
      </c>
      <c r="R439">
        <v>85.44</v>
      </c>
      <c r="S439">
        <v>10196</v>
      </c>
      <c r="T439">
        <v>7409</v>
      </c>
      <c r="U439">
        <v>206</v>
      </c>
      <c r="V439">
        <v>7203</v>
      </c>
      <c r="W439" s="3">
        <f t="shared" si="42"/>
        <v>84.30477528089888</v>
      </c>
      <c r="X439">
        <v>108.32817332835501</v>
      </c>
      <c r="Y439" s="3">
        <v>108.32817332835501</v>
      </c>
      <c r="Z439" s="4">
        <f t="shared" si="43"/>
        <v>0.77823499363698789</v>
      </c>
      <c r="AA439" s="5">
        <f t="shared" si="44"/>
        <v>94.121406156224609</v>
      </c>
      <c r="AB439" s="5">
        <f t="shared" si="45"/>
        <v>7.1166666666666671</v>
      </c>
      <c r="AC439" s="5">
        <f t="shared" si="46"/>
        <v>14</v>
      </c>
      <c r="AD439" s="5">
        <f t="shared" si="47"/>
        <v>2</v>
      </c>
      <c r="AE439" s="5" t="str">
        <f t="shared" si="48"/>
        <v>Shortage</v>
      </c>
    </row>
    <row r="440" spans="1:31" x14ac:dyDescent="0.25">
      <c r="A440" t="s">
        <v>1109</v>
      </c>
      <c r="B440" s="2">
        <v>46234</v>
      </c>
      <c r="C440" t="s">
        <v>1110</v>
      </c>
      <c r="D440" t="s">
        <v>309</v>
      </c>
      <c r="E440" t="s">
        <v>135</v>
      </c>
      <c r="F440" t="s">
        <v>55</v>
      </c>
      <c r="G440" t="s">
        <v>43</v>
      </c>
      <c r="H440" t="s">
        <v>50</v>
      </c>
      <c r="I440">
        <v>8</v>
      </c>
      <c r="J440">
        <v>21</v>
      </c>
      <c r="K440">
        <v>9</v>
      </c>
      <c r="L440">
        <v>12</v>
      </c>
      <c r="M440">
        <v>0</v>
      </c>
      <c r="N440">
        <v>21</v>
      </c>
      <c r="O440">
        <v>0</v>
      </c>
      <c r="P440">
        <v>28</v>
      </c>
      <c r="Q440">
        <v>7.53</v>
      </c>
      <c r="R440">
        <v>158.13</v>
      </c>
      <c r="S440">
        <v>18234</v>
      </c>
      <c r="T440">
        <v>16833</v>
      </c>
      <c r="U440">
        <v>390</v>
      </c>
      <c r="V440">
        <v>16443</v>
      </c>
      <c r="W440" s="3">
        <f t="shared" si="42"/>
        <v>103.98406374501992</v>
      </c>
      <c r="X440">
        <v>109.38855294136761</v>
      </c>
      <c r="Y440" s="3">
        <v>109.38855294136761</v>
      </c>
      <c r="Z440" s="4">
        <f t="shared" si="43"/>
        <v>0.95059364941737101</v>
      </c>
      <c r="AA440" s="5">
        <f t="shared" si="44"/>
        <v>166.6902021253855</v>
      </c>
      <c r="AB440" s="5">
        <f t="shared" si="45"/>
        <v>7.5333333333333332</v>
      </c>
      <c r="AC440" s="5">
        <f t="shared" si="46"/>
        <v>23</v>
      </c>
      <c r="AD440" s="5">
        <f t="shared" si="47"/>
        <v>2</v>
      </c>
      <c r="AE440" s="5" t="str">
        <f t="shared" si="48"/>
        <v>Shortage</v>
      </c>
    </row>
    <row r="441" spans="1:31" x14ac:dyDescent="0.25">
      <c r="A441" t="s">
        <v>1111</v>
      </c>
      <c r="B441" s="2">
        <v>46234</v>
      </c>
      <c r="C441" t="s">
        <v>1112</v>
      </c>
      <c r="D441" t="s">
        <v>82</v>
      </c>
      <c r="E441" t="s">
        <v>83</v>
      </c>
      <c r="F441" t="s">
        <v>35</v>
      </c>
      <c r="G441" t="s">
        <v>43</v>
      </c>
      <c r="H441" t="s">
        <v>37</v>
      </c>
      <c r="I441">
        <v>10</v>
      </c>
      <c r="J441">
        <v>22</v>
      </c>
      <c r="K441">
        <v>9</v>
      </c>
      <c r="L441">
        <v>13</v>
      </c>
      <c r="M441">
        <v>0</v>
      </c>
      <c r="N441">
        <v>22</v>
      </c>
      <c r="O441">
        <v>0</v>
      </c>
      <c r="P441">
        <v>32</v>
      </c>
      <c r="Q441">
        <v>9.4700000000000006</v>
      </c>
      <c r="R441">
        <v>208.34</v>
      </c>
      <c r="S441">
        <v>20422</v>
      </c>
      <c r="T441">
        <v>18749</v>
      </c>
      <c r="U441">
        <v>317</v>
      </c>
      <c r="V441">
        <v>18432</v>
      </c>
      <c r="W441" s="3">
        <f t="shared" si="42"/>
        <v>88.470768935394062</v>
      </c>
      <c r="X441">
        <v>118.01656521145939</v>
      </c>
      <c r="Y441" s="3">
        <v>118.01656521145939</v>
      </c>
      <c r="Z441" s="4">
        <f t="shared" si="43"/>
        <v>0.74964704130199145</v>
      </c>
      <c r="AA441" s="5">
        <f t="shared" si="44"/>
        <v>173.04350421831313</v>
      </c>
      <c r="AB441" s="5">
        <f t="shared" si="45"/>
        <v>9.4666666666666668</v>
      </c>
      <c r="AC441" s="5">
        <f t="shared" si="46"/>
        <v>19</v>
      </c>
      <c r="AD441" s="5">
        <f t="shared" si="47"/>
        <v>-3</v>
      </c>
      <c r="AE441" s="5" t="str">
        <f t="shared" si="48"/>
        <v>Surplus</v>
      </c>
    </row>
    <row r="442" spans="1:31" x14ac:dyDescent="0.25">
      <c r="A442" t="s">
        <v>1113</v>
      </c>
      <c r="B442" s="2">
        <v>46238</v>
      </c>
      <c r="C442" t="s">
        <v>1114</v>
      </c>
      <c r="D442" t="s">
        <v>783</v>
      </c>
      <c r="E442" t="s">
        <v>784</v>
      </c>
      <c r="F442" t="s">
        <v>42</v>
      </c>
      <c r="G442" t="s">
        <v>36</v>
      </c>
      <c r="H442" t="s">
        <v>50</v>
      </c>
      <c r="I442">
        <v>10</v>
      </c>
      <c r="J442">
        <v>16</v>
      </c>
      <c r="K442">
        <v>7</v>
      </c>
      <c r="L442">
        <v>9</v>
      </c>
      <c r="M442">
        <v>0</v>
      </c>
      <c r="N442">
        <v>16</v>
      </c>
      <c r="O442">
        <v>0</v>
      </c>
      <c r="P442">
        <v>15</v>
      </c>
      <c r="Q442">
        <v>9.75</v>
      </c>
      <c r="R442">
        <v>156</v>
      </c>
      <c r="S442">
        <v>13474</v>
      </c>
      <c r="T442">
        <v>12604</v>
      </c>
      <c r="U442">
        <v>105</v>
      </c>
      <c r="V442">
        <v>12499</v>
      </c>
      <c r="W442" s="3">
        <f t="shared" si="42"/>
        <v>80.121794871794876</v>
      </c>
      <c r="X442">
        <v>112.98347693798689</v>
      </c>
      <c r="Y442" s="3">
        <v>112.98347693798689</v>
      </c>
      <c r="Z442" s="4">
        <f t="shared" si="43"/>
        <v>0.70914612510793262</v>
      </c>
      <c r="AA442" s="5">
        <f t="shared" si="44"/>
        <v>119.25637593358415</v>
      </c>
      <c r="AB442" s="5">
        <f t="shared" si="45"/>
        <v>9.75</v>
      </c>
      <c r="AC442" s="5">
        <f t="shared" si="46"/>
        <v>13</v>
      </c>
      <c r="AD442" s="5">
        <f t="shared" si="47"/>
        <v>-3</v>
      </c>
      <c r="AE442" s="5" t="str">
        <f t="shared" si="48"/>
        <v>Surplus</v>
      </c>
    </row>
    <row r="443" spans="1:31" x14ac:dyDescent="0.25">
      <c r="A443" t="s">
        <v>1115</v>
      </c>
      <c r="B443" s="2">
        <v>46238</v>
      </c>
      <c r="C443" t="s">
        <v>1116</v>
      </c>
      <c r="D443" t="s">
        <v>346</v>
      </c>
      <c r="E443" t="s">
        <v>347</v>
      </c>
      <c r="F443" t="s">
        <v>68</v>
      </c>
      <c r="G443" t="s">
        <v>36</v>
      </c>
      <c r="H443" t="s">
        <v>74</v>
      </c>
      <c r="I443">
        <v>8</v>
      </c>
      <c r="J443">
        <v>27</v>
      </c>
      <c r="K443">
        <v>10</v>
      </c>
      <c r="L443">
        <v>17</v>
      </c>
      <c r="M443">
        <v>0</v>
      </c>
      <c r="N443">
        <v>27</v>
      </c>
      <c r="O443">
        <v>2</v>
      </c>
      <c r="P443">
        <v>22</v>
      </c>
      <c r="Q443">
        <v>7.63</v>
      </c>
      <c r="R443">
        <v>206.01</v>
      </c>
      <c r="S443">
        <v>29297</v>
      </c>
      <c r="T443">
        <v>24162</v>
      </c>
      <c r="U443">
        <v>817</v>
      </c>
      <c r="V443">
        <v>23345</v>
      </c>
      <c r="W443" s="3">
        <f t="shared" si="42"/>
        <v>113.31974176010874</v>
      </c>
      <c r="X443">
        <v>120.8174989437542</v>
      </c>
      <c r="Y443" s="3">
        <v>120.8174989437542</v>
      </c>
      <c r="Z443" s="4">
        <f t="shared" si="43"/>
        <v>0.93794146337083184</v>
      </c>
      <c r="AA443" s="5">
        <f t="shared" si="44"/>
        <v>242.48970766758734</v>
      </c>
      <c r="AB443" s="5">
        <f t="shared" si="45"/>
        <v>7.6333333333333337</v>
      </c>
      <c r="AC443" s="5">
        <f t="shared" si="46"/>
        <v>32</v>
      </c>
      <c r="AD443" s="5">
        <f t="shared" si="47"/>
        <v>5</v>
      </c>
      <c r="AE443" s="5" t="str">
        <f t="shared" si="48"/>
        <v>Shortage</v>
      </c>
    </row>
    <row r="444" spans="1:31" x14ac:dyDescent="0.25">
      <c r="A444" t="s">
        <v>1117</v>
      </c>
      <c r="B444" s="2">
        <v>46238</v>
      </c>
      <c r="C444" t="s">
        <v>1118</v>
      </c>
      <c r="D444" t="s">
        <v>522</v>
      </c>
      <c r="E444" t="s">
        <v>523</v>
      </c>
      <c r="F444" t="s">
        <v>42</v>
      </c>
      <c r="G444" t="s">
        <v>43</v>
      </c>
      <c r="H444" t="s">
        <v>74</v>
      </c>
      <c r="I444">
        <v>8</v>
      </c>
      <c r="J444">
        <v>20</v>
      </c>
      <c r="K444">
        <v>6</v>
      </c>
      <c r="L444">
        <v>14</v>
      </c>
      <c r="M444">
        <v>1</v>
      </c>
      <c r="N444">
        <v>19</v>
      </c>
      <c r="O444">
        <v>3</v>
      </c>
      <c r="P444">
        <v>22</v>
      </c>
      <c r="Q444">
        <v>7.63</v>
      </c>
      <c r="R444">
        <v>144.97</v>
      </c>
      <c r="S444">
        <v>19752</v>
      </c>
      <c r="T444">
        <v>17849</v>
      </c>
      <c r="U444">
        <v>443</v>
      </c>
      <c r="V444">
        <v>17406</v>
      </c>
      <c r="W444" s="3">
        <f t="shared" si="42"/>
        <v>120.06622059736497</v>
      </c>
      <c r="X444">
        <v>115.1855592022217</v>
      </c>
      <c r="Y444" s="3">
        <v>115.1855592022217</v>
      </c>
      <c r="Z444" s="4">
        <f t="shared" si="43"/>
        <v>1.0423721639148769</v>
      </c>
      <c r="AA444" s="5">
        <f t="shared" si="44"/>
        <v>171.47982904109583</v>
      </c>
      <c r="AB444" s="5">
        <f t="shared" si="45"/>
        <v>7.6333333333333337</v>
      </c>
      <c r="AC444" s="5">
        <f t="shared" si="46"/>
        <v>23</v>
      </c>
      <c r="AD444" s="5">
        <f t="shared" si="47"/>
        <v>4</v>
      </c>
      <c r="AE444" s="5" t="str">
        <f t="shared" si="48"/>
        <v>Shortage</v>
      </c>
    </row>
    <row r="445" spans="1:31" x14ac:dyDescent="0.25">
      <c r="A445" t="s">
        <v>1119</v>
      </c>
      <c r="B445" s="2">
        <v>46239</v>
      </c>
      <c r="C445" t="s">
        <v>1120</v>
      </c>
      <c r="D445" t="s">
        <v>953</v>
      </c>
      <c r="E445" t="s">
        <v>954</v>
      </c>
      <c r="F445" t="s">
        <v>49</v>
      </c>
      <c r="G445" t="s">
        <v>36</v>
      </c>
      <c r="H445" t="s">
        <v>37</v>
      </c>
      <c r="I445">
        <v>10</v>
      </c>
      <c r="J445">
        <v>22</v>
      </c>
      <c r="K445">
        <v>7</v>
      </c>
      <c r="L445">
        <v>15</v>
      </c>
      <c r="M445">
        <v>2</v>
      </c>
      <c r="N445">
        <v>20</v>
      </c>
      <c r="O445">
        <v>2</v>
      </c>
      <c r="P445">
        <v>26</v>
      </c>
      <c r="Q445">
        <v>9.57</v>
      </c>
      <c r="R445">
        <v>191.4</v>
      </c>
      <c r="S445">
        <v>24445</v>
      </c>
      <c r="T445">
        <v>22763</v>
      </c>
      <c r="U445">
        <v>330</v>
      </c>
      <c r="V445">
        <v>22433</v>
      </c>
      <c r="W445" s="3">
        <f t="shared" si="42"/>
        <v>117.20480668756531</v>
      </c>
      <c r="X445">
        <v>118.4084783141387</v>
      </c>
      <c r="Y445" s="3">
        <v>118.4084783141387</v>
      </c>
      <c r="Z445" s="4">
        <f t="shared" si="43"/>
        <v>0.98983458242424127</v>
      </c>
      <c r="AA445" s="5">
        <f t="shared" si="44"/>
        <v>206.4463655646955</v>
      </c>
      <c r="AB445" s="5">
        <f t="shared" si="45"/>
        <v>9.5666666666666664</v>
      </c>
      <c r="AC445" s="5">
        <f t="shared" si="46"/>
        <v>22</v>
      </c>
      <c r="AD445" s="5">
        <f t="shared" si="47"/>
        <v>2</v>
      </c>
      <c r="AE445" s="5" t="str">
        <f t="shared" si="48"/>
        <v>Shortage</v>
      </c>
    </row>
    <row r="446" spans="1:31" x14ac:dyDescent="0.25">
      <c r="A446" t="s">
        <v>1121</v>
      </c>
      <c r="B446" s="2">
        <v>46239</v>
      </c>
      <c r="C446" t="s">
        <v>1122</v>
      </c>
      <c r="D446" t="s">
        <v>355</v>
      </c>
      <c r="E446" t="s">
        <v>356</v>
      </c>
      <c r="F446" t="s">
        <v>35</v>
      </c>
      <c r="G446" t="s">
        <v>43</v>
      </c>
      <c r="H446" t="s">
        <v>69</v>
      </c>
      <c r="I446">
        <v>8</v>
      </c>
      <c r="J446">
        <v>21</v>
      </c>
      <c r="K446">
        <v>7</v>
      </c>
      <c r="L446">
        <v>14</v>
      </c>
      <c r="M446">
        <v>2</v>
      </c>
      <c r="N446">
        <v>19</v>
      </c>
      <c r="O446">
        <v>0</v>
      </c>
      <c r="P446">
        <v>48</v>
      </c>
      <c r="Q446">
        <v>7.2</v>
      </c>
      <c r="R446">
        <v>136.80000000000001</v>
      </c>
      <c r="S446">
        <v>18794</v>
      </c>
      <c r="T446">
        <v>15780</v>
      </c>
      <c r="U446">
        <v>244</v>
      </c>
      <c r="V446">
        <v>15536</v>
      </c>
      <c r="W446" s="3">
        <f t="shared" si="42"/>
        <v>113.56725146198829</v>
      </c>
      <c r="X446">
        <v>118.01656521145939</v>
      </c>
      <c r="Y446" s="3">
        <v>118.01656521145939</v>
      </c>
      <c r="Z446" s="4">
        <f t="shared" si="43"/>
        <v>0.96229924382650078</v>
      </c>
      <c r="AA446" s="5">
        <f t="shared" si="44"/>
        <v>159.24883058853084</v>
      </c>
      <c r="AB446" s="5">
        <f t="shared" si="45"/>
        <v>7.2</v>
      </c>
      <c r="AC446" s="5">
        <f t="shared" si="46"/>
        <v>23</v>
      </c>
      <c r="AD446" s="5">
        <f t="shared" si="47"/>
        <v>4</v>
      </c>
      <c r="AE446" s="5" t="str">
        <f t="shared" si="48"/>
        <v>Shortage</v>
      </c>
    </row>
    <row r="447" spans="1:31" x14ac:dyDescent="0.25">
      <c r="A447" t="s">
        <v>1123</v>
      </c>
      <c r="B447" s="2">
        <v>46239</v>
      </c>
      <c r="C447" t="s">
        <v>1124</v>
      </c>
      <c r="D447" t="s">
        <v>170</v>
      </c>
      <c r="E447" t="s">
        <v>171</v>
      </c>
      <c r="F447" t="s">
        <v>35</v>
      </c>
      <c r="G447" t="s">
        <v>43</v>
      </c>
      <c r="H447" t="s">
        <v>69</v>
      </c>
      <c r="I447">
        <v>10</v>
      </c>
      <c r="J447">
        <v>25</v>
      </c>
      <c r="K447">
        <v>9</v>
      </c>
      <c r="L447">
        <v>16</v>
      </c>
      <c r="M447">
        <v>1</v>
      </c>
      <c r="N447">
        <v>24</v>
      </c>
      <c r="O447">
        <v>0</v>
      </c>
      <c r="P447">
        <v>28</v>
      </c>
      <c r="Q447">
        <v>9.5299999999999994</v>
      </c>
      <c r="R447">
        <v>228.72</v>
      </c>
      <c r="S447">
        <v>27286</v>
      </c>
      <c r="T447">
        <v>22384</v>
      </c>
      <c r="U447">
        <v>167</v>
      </c>
      <c r="V447">
        <v>22217</v>
      </c>
      <c r="W447" s="3">
        <f t="shared" si="42"/>
        <v>97.136236446309894</v>
      </c>
      <c r="X447">
        <v>118.01656521145939</v>
      </c>
      <c r="Y447" s="3">
        <v>118.01656521145939</v>
      </c>
      <c r="Z447" s="4">
        <f t="shared" si="43"/>
        <v>0.82307289889570501</v>
      </c>
      <c r="AA447" s="5">
        <f t="shared" si="44"/>
        <v>231.2048308736114</v>
      </c>
      <c r="AB447" s="5">
        <f t="shared" si="45"/>
        <v>9.5333333333333332</v>
      </c>
      <c r="AC447" s="5">
        <f t="shared" si="46"/>
        <v>25</v>
      </c>
      <c r="AD447" s="5">
        <f t="shared" si="47"/>
        <v>1</v>
      </c>
      <c r="AE447" s="5" t="str">
        <f t="shared" si="48"/>
        <v>Shortage</v>
      </c>
    </row>
    <row r="448" spans="1:31" x14ac:dyDescent="0.25">
      <c r="A448" t="s">
        <v>1125</v>
      </c>
      <c r="B448" s="2">
        <v>46241</v>
      </c>
      <c r="C448" t="s">
        <v>1126</v>
      </c>
      <c r="D448" t="s">
        <v>216</v>
      </c>
      <c r="E448" t="s">
        <v>217</v>
      </c>
      <c r="F448" t="s">
        <v>42</v>
      </c>
      <c r="G448" t="s">
        <v>43</v>
      </c>
      <c r="H448" t="s">
        <v>44</v>
      </c>
      <c r="I448">
        <v>10</v>
      </c>
      <c r="J448">
        <v>20</v>
      </c>
      <c r="K448">
        <v>8</v>
      </c>
      <c r="L448">
        <v>12</v>
      </c>
      <c r="M448">
        <v>0</v>
      </c>
      <c r="N448">
        <v>20</v>
      </c>
      <c r="O448">
        <v>3</v>
      </c>
      <c r="P448">
        <v>26</v>
      </c>
      <c r="Q448">
        <v>9.57</v>
      </c>
      <c r="R448">
        <v>191.4</v>
      </c>
      <c r="S448">
        <v>22516</v>
      </c>
      <c r="T448">
        <v>18785</v>
      </c>
      <c r="U448">
        <v>548</v>
      </c>
      <c r="V448">
        <v>18237</v>
      </c>
      <c r="W448" s="3">
        <f t="shared" si="42"/>
        <v>95.282131661442008</v>
      </c>
      <c r="X448">
        <v>115.1855592022217</v>
      </c>
      <c r="Y448" s="3">
        <v>115.1855592022217</v>
      </c>
      <c r="Z448" s="4">
        <f t="shared" si="43"/>
        <v>0.82720553098295158</v>
      </c>
      <c r="AA448" s="5">
        <f t="shared" si="44"/>
        <v>195.47589260273966</v>
      </c>
      <c r="AB448" s="5">
        <f t="shared" si="45"/>
        <v>9.5666666666666664</v>
      </c>
      <c r="AC448" s="5">
        <f t="shared" si="46"/>
        <v>21</v>
      </c>
      <c r="AD448" s="5">
        <f t="shared" si="47"/>
        <v>1</v>
      </c>
      <c r="AE448" s="5" t="str">
        <f t="shared" si="48"/>
        <v>Shortage</v>
      </c>
    </row>
    <row r="449" spans="1:31" x14ac:dyDescent="0.25">
      <c r="A449" t="s">
        <v>1127</v>
      </c>
      <c r="B449" s="2">
        <v>46242</v>
      </c>
      <c r="C449" t="s">
        <v>1128</v>
      </c>
      <c r="D449" t="s">
        <v>332</v>
      </c>
      <c r="E449" t="s">
        <v>333</v>
      </c>
      <c r="F449" t="s">
        <v>42</v>
      </c>
      <c r="G449" t="s">
        <v>43</v>
      </c>
      <c r="H449" t="s">
        <v>44</v>
      </c>
      <c r="I449">
        <v>8</v>
      </c>
      <c r="J449">
        <v>22</v>
      </c>
      <c r="K449">
        <v>10</v>
      </c>
      <c r="L449">
        <v>12</v>
      </c>
      <c r="M449">
        <v>0</v>
      </c>
      <c r="N449">
        <v>22</v>
      </c>
      <c r="O449">
        <v>2</v>
      </c>
      <c r="P449">
        <v>53</v>
      </c>
      <c r="Q449">
        <v>7.12</v>
      </c>
      <c r="R449">
        <v>156.63999999999999</v>
      </c>
      <c r="S449">
        <v>21234</v>
      </c>
      <c r="T449">
        <v>19554</v>
      </c>
      <c r="U449">
        <v>339</v>
      </c>
      <c r="V449">
        <v>19215</v>
      </c>
      <c r="W449" s="3">
        <f t="shared" si="42"/>
        <v>122.66981613891727</v>
      </c>
      <c r="X449">
        <v>115.1855592022217</v>
      </c>
      <c r="Y449" s="3">
        <v>115.1855592022217</v>
      </c>
      <c r="Z449" s="4">
        <f t="shared" si="43"/>
        <v>1.0649756530986327</v>
      </c>
      <c r="AA449" s="5">
        <f t="shared" si="44"/>
        <v>184.34602520547941</v>
      </c>
      <c r="AB449" s="5">
        <f t="shared" si="45"/>
        <v>7.1166666666666671</v>
      </c>
      <c r="AC449" s="5">
        <f t="shared" si="46"/>
        <v>26</v>
      </c>
      <c r="AD449" s="5">
        <f t="shared" si="47"/>
        <v>4</v>
      </c>
      <c r="AE449" s="5" t="str">
        <f t="shared" si="48"/>
        <v>Shortage</v>
      </c>
    </row>
    <row r="450" spans="1:31" x14ac:dyDescent="0.25">
      <c r="A450" t="s">
        <v>1129</v>
      </c>
      <c r="B450" s="2">
        <v>46242</v>
      </c>
      <c r="C450" t="s">
        <v>1130</v>
      </c>
      <c r="D450" t="s">
        <v>111</v>
      </c>
      <c r="E450" t="s">
        <v>112</v>
      </c>
      <c r="F450" t="s">
        <v>35</v>
      </c>
      <c r="G450" t="s">
        <v>43</v>
      </c>
      <c r="H450" t="s">
        <v>50</v>
      </c>
      <c r="I450">
        <v>10</v>
      </c>
      <c r="J450">
        <v>19</v>
      </c>
      <c r="K450">
        <v>7</v>
      </c>
      <c r="L450">
        <v>12</v>
      </c>
      <c r="M450">
        <v>0</v>
      </c>
      <c r="N450">
        <v>19</v>
      </c>
      <c r="O450">
        <v>2</v>
      </c>
      <c r="P450">
        <v>57</v>
      </c>
      <c r="Q450">
        <v>9.0500000000000007</v>
      </c>
      <c r="R450">
        <v>171.95</v>
      </c>
      <c r="S450">
        <v>21980</v>
      </c>
      <c r="T450">
        <v>20844</v>
      </c>
      <c r="U450">
        <v>420</v>
      </c>
      <c r="V450">
        <v>20424</v>
      </c>
      <c r="W450" s="3">
        <f t="shared" si="42"/>
        <v>118.77871474265775</v>
      </c>
      <c r="X450">
        <v>118.01656521145939</v>
      </c>
      <c r="Y450" s="3">
        <v>118.01656521145939</v>
      </c>
      <c r="Z450" s="4">
        <f t="shared" si="43"/>
        <v>1.0064579877395412</v>
      </c>
      <c r="AA450" s="5">
        <f t="shared" si="44"/>
        <v>186.24504077556176</v>
      </c>
      <c r="AB450" s="5">
        <f t="shared" si="45"/>
        <v>9.0500000000000007</v>
      </c>
      <c r="AC450" s="5">
        <f t="shared" si="46"/>
        <v>21</v>
      </c>
      <c r="AD450" s="5">
        <f t="shared" si="47"/>
        <v>2</v>
      </c>
      <c r="AE450" s="5" t="str">
        <f t="shared" si="48"/>
        <v>Shortage</v>
      </c>
    </row>
    <row r="451" spans="1:31" x14ac:dyDescent="0.25">
      <c r="A451" t="s">
        <v>1131</v>
      </c>
      <c r="B451" s="2">
        <v>46242</v>
      </c>
      <c r="C451" t="s">
        <v>1132</v>
      </c>
      <c r="D451" t="s">
        <v>516</v>
      </c>
      <c r="E451" t="s">
        <v>517</v>
      </c>
      <c r="F451" t="s">
        <v>42</v>
      </c>
      <c r="G451" t="s">
        <v>79</v>
      </c>
      <c r="H451" t="s">
        <v>74</v>
      </c>
      <c r="I451">
        <v>10</v>
      </c>
      <c r="J451">
        <v>14</v>
      </c>
      <c r="K451">
        <v>5</v>
      </c>
      <c r="L451">
        <v>9</v>
      </c>
      <c r="M451">
        <v>0</v>
      </c>
      <c r="N451">
        <v>14</v>
      </c>
      <c r="O451">
        <v>0</v>
      </c>
      <c r="P451">
        <v>57</v>
      </c>
      <c r="Q451">
        <v>9.0500000000000007</v>
      </c>
      <c r="R451">
        <v>126.7</v>
      </c>
      <c r="S451">
        <v>14993</v>
      </c>
      <c r="T451">
        <v>12082</v>
      </c>
      <c r="U451">
        <v>514</v>
      </c>
      <c r="V451">
        <v>11568</v>
      </c>
      <c r="W451" s="3">
        <f t="shared" ref="W451:W501" si="49">IFERROR(V451/R451,0)</f>
        <v>91.302288871349646</v>
      </c>
      <c r="X451">
        <v>99.399922570654283</v>
      </c>
      <c r="Y451" s="3">
        <v>99.399922570654283</v>
      </c>
      <c r="Z451" s="4">
        <f t="shared" ref="Z451:Z501" si="50">IFERROR(W451/Y451,0)</f>
        <v>0.91853480878167915</v>
      </c>
      <c r="AA451" s="5">
        <f t="shared" ref="AA451:AA501" si="51">IFERROR(S451/Y451,0)</f>
        <v>150.83512755598829</v>
      </c>
      <c r="AB451" s="5">
        <f t="shared" ref="AB451:AB501" si="52">MAX(0.1,I451-(P451/60))</f>
        <v>9.0500000000000007</v>
      </c>
      <c r="AC451" s="5">
        <f t="shared" ref="AC451:AC501" si="53">IFERROR(CEILING(AA451/AB451,1),0)</f>
        <v>17</v>
      </c>
      <c r="AD451" s="5">
        <f t="shared" ref="AD451:AD501" si="54">AC451-N451</f>
        <v>3</v>
      </c>
      <c r="AE451" s="5" t="str">
        <f t="shared" ref="AE451:AE501" si="55">IF(AD451&gt;0,"Shortage",IF(AD451&lt;0,"Surplus","Balanced"))</f>
        <v>Shortage</v>
      </c>
    </row>
    <row r="452" spans="1:31" x14ac:dyDescent="0.25">
      <c r="A452" t="s">
        <v>1133</v>
      </c>
      <c r="B452" s="2">
        <v>46243</v>
      </c>
      <c r="C452" t="s">
        <v>1134</v>
      </c>
      <c r="D452" t="s">
        <v>40</v>
      </c>
      <c r="E452" t="s">
        <v>41</v>
      </c>
      <c r="F452" t="s">
        <v>35</v>
      </c>
      <c r="G452" t="s">
        <v>43</v>
      </c>
      <c r="H452" t="s">
        <v>44</v>
      </c>
      <c r="I452">
        <v>8</v>
      </c>
      <c r="J452">
        <v>21</v>
      </c>
      <c r="K452">
        <v>8</v>
      </c>
      <c r="L452">
        <v>13</v>
      </c>
      <c r="M452">
        <v>1</v>
      </c>
      <c r="N452">
        <v>20</v>
      </c>
      <c r="O452">
        <v>0</v>
      </c>
      <c r="P452">
        <v>38</v>
      </c>
      <c r="Q452">
        <v>7.37</v>
      </c>
      <c r="R452">
        <v>147.4</v>
      </c>
      <c r="S452">
        <v>21035</v>
      </c>
      <c r="T452">
        <v>17183</v>
      </c>
      <c r="U452">
        <v>278</v>
      </c>
      <c r="V452">
        <v>16905</v>
      </c>
      <c r="W452" s="3">
        <f t="shared" si="49"/>
        <v>114.68792401628222</v>
      </c>
      <c r="X452">
        <v>118.01656521145939</v>
      </c>
      <c r="Y452" s="3">
        <v>118.01656521145939</v>
      </c>
      <c r="Z452" s="4">
        <f t="shared" si="50"/>
        <v>0.97179513579968213</v>
      </c>
      <c r="AA452" s="5">
        <f t="shared" si="51"/>
        <v>178.2376902963577</v>
      </c>
      <c r="AB452" s="5">
        <f t="shared" si="52"/>
        <v>7.3666666666666671</v>
      </c>
      <c r="AC452" s="5">
        <f t="shared" si="53"/>
        <v>25</v>
      </c>
      <c r="AD452" s="5">
        <f t="shared" si="54"/>
        <v>5</v>
      </c>
      <c r="AE452" s="5" t="str">
        <f t="shared" si="55"/>
        <v>Shortage</v>
      </c>
    </row>
    <row r="453" spans="1:31" x14ac:dyDescent="0.25">
      <c r="A453" t="s">
        <v>1135</v>
      </c>
      <c r="B453" s="2">
        <v>46244</v>
      </c>
      <c r="C453" t="s">
        <v>1136</v>
      </c>
      <c r="D453" t="s">
        <v>398</v>
      </c>
      <c r="E453" t="s">
        <v>399</v>
      </c>
      <c r="F453" t="s">
        <v>55</v>
      </c>
      <c r="G453" t="s">
        <v>43</v>
      </c>
      <c r="H453" t="s">
        <v>74</v>
      </c>
      <c r="I453">
        <v>8</v>
      </c>
      <c r="J453">
        <v>17</v>
      </c>
      <c r="K453">
        <v>6</v>
      </c>
      <c r="L453">
        <v>11</v>
      </c>
      <c r="M453">
        <v>0</v>
      </c>
      <c r="N453">
        <v>17</v>
      </c>
      <c r="O453">
        <v>0</v>
      </c>
      <c r="P453">
        <v>16</v>
      </c>
      <c r="Q453">
        <v>7.73</v>
      </c>
      <c r="R453">
        <v>131.41</v>
      </c>
      <c r="S453">
        <v>15840</v>
      </c>
      <c r="T453">
        <v>14725</v>
      </c>
      <c r="U453">
        <v>471</v>
      </c>
      <c r="V453">
        <v>14254</v>
      </c>
      <c r="W453" s="3">
        <f t="shared" si="49"/>
        <v>108.46967506278061</v>
      </c>
      <c r="X453">
        <v>109.38855294136761</v>
      </c>
      <c r="Y453" s="3">
        <v>109.38855294136761</v>
      </c>
      <c r="Z453" s="4">
        <f t="shared" si="50"/>
        <v>0.99159987170614172</v>
      </c>
      <c r="AA453" s="5">
        <f t="shared" si="51"/>
        <v>144.80491398848889</v>
      </c>
      <c r="AB453" s="5">
        <f t="shared" si="52"/>
        <v>7.7333333333333334</v>
      </c>
      <c r="AC453" s="5">
        <f t="shared" si="53"/>
        <v>19</v>
      </c>
      <c r="AD453" s="5">
        <f t="shared" si="54"/>
        <v>2</v>
      </c>
      <c r="AE453" s="5" t="str">
        <f t="shared" si="55"/>
        <v>Shortage</v>
      </c>
    </row>
    <row r="454" spans="1:31" x14ac:dyDescent="0.25">
      <c r="A454" t="s">
        <v>1137</v>
      </c>
      <c r="B454" s="2">
        <v>46245</v>
      </c>
      <c r="C454" t="s">
        <v>1138</v>
      </c>
      <c r="D454" t="s">
        <v>1033</v>
      </c>
      <c r="E454" t="s">
        <v>1034</v>
      </c>
      <c r="F454" t="s">
        <v>35</v>
      </c>
      <c r="G454" t="s">
        <v>36</v>
      </c>
      <c r="H454" t="s">
        <v>69</v>
      </c>
      <c r="I454">
        <v>9</v>
      </c>
      <c r="J454">
        <v>22</v>
      </c>
      <c r="K454">
        <v>9</v>
      </c>
      <c r="L454">
        <v>13</v>
      </c>
      <c r="M454">
        <v>1</v>
      </c>
      <c r="N454">
        <v>21</v>
      </c>
      <c r="O454">
        <v>0</v>
      </c>
      <c r="P454">
        <v>5</v>
      </c>
      <c r="Q454">
        <v>8.92</v>
      </c>
      <c r="R454">
        <v>187.32</v>
      </c>
      <c r="S454">
        <v>23515</v>
      </c>
      <c r="T454">
        <v>25140</v>
      </c>
      <c r="U454">
        <v>606</v>
      </c>
      <c r="V454">
        <v>24534</v>
      </c>
      <c r="W454" s="3">
        <f t="shared" si="49"/>
        <v>130.97373478539399</v>
      </c>
      <c r="X454">
        <v>114.1563708384419</v>
      </c>
      <c r="Y454" s="3">
        <v>114.1563708384419</v>
      </c>
      <c r="Z454" s="4">
        <f t="shared" si="50"/>
        <v>1.1473186631935997</v>
      </c>
      <c r="AA454" s="5">
        <f t="shared" si="51"/>
        <v>205.98937954395251</v>
      </c>
      <c r="AB454" s="5">
        <f t="shared" si="52"/>
        <v>8.9166666666666661</v>
      </c>
      <c r="AC454" s="5">
        <f t="shared" si="53"/>
        <v>24</v>
      </c>
      <c r="AD454" s="5">
        <f t="shared" si="54"/>
        <v>3</v>
      </c>
      <c r="AE454" s="5" t="str">
        <f t="shared" si="55"/>
        <v>Shortage</v>
      </c>
    </row>
    <row r="455" spans="1:31" x14ac:dyDescent="0.25">
      <c r="A455" t="s">
        <v>1139</v>
      </c>
      <c r="B455" s="2">
        <v>46245</v>
      </c>
      <c r="C455" t="s">
        <v>1140</v>
      </c>
      <c r="D455" t="s">
        <v>190</v>
      </c>
      <c r="E455" t="s">
        <v>108</v>
      </c>
      <c r="F455" t="s">
        <v>35</v>
      </c>
      <c r="G455" t="s">
        <v>43</v>
      </c>
      <c r="H455" t="s">
        <v>44</v>
      </c>
      <c r="I455">
        <v>9</v>
      </c>
      <c r="J455">
        <v>23</v>
      </c>
      <c r="K455">
        <v>9</v>
      </c>
      <c r="L455">
        <v>14</v>
      </c>
      <c r="M455">
        <v>1</v>
      </c>
      <c r="N455">
        <v>22</v>
      </c>
      <c r="O455">
        <v>0</v>
      </c>
      <c r="P455">
        <v>58</v>
      </c>
      <c r="Q455">
        <v>8.0299999999999994</v>
      </c>
      <c r="R455">
        <v>176.66</v>
      </c>
      <c r="S455">
        <v>25376</v>
      </c>
      <c r="T455">
        <v>21313</v>
      </c>
      <c r="U455">
        <v>430</v>
      </c>
      <c r="V455">
        <v>20883</v>
      </c>
      <c r="W455" s="3">
        <f t="shared" si="49"/>
        <v>118.21012113664666</v>
      </c>
      <c r="X455">
        <v>118.01656521145939</v>
      </c>
      <c r="Y455" s="3">
        <v>118.01656521145939</v>
      </c>
      <c r="Z455" s="4">
        <f t="shared" si="50"/>
        <v>1.0016400742119589</v>
      </c>
      <c r="AA455" s="5">
        <f t="shared" si="51"/>
        <v>215.02066218019363</v>
      </c>
      <c r="AB455" s="5">
        <f t="shared" si="52"/>
        <v>8.0333333333333332</v>
      </c>
      <c r="AC455" s="5">
        <f t="shared" si="53"/>
        <v>27</v>
      </c>
      <c r="AD455" s="5">
        <f t="shared" si="54"/>
        <v>5</v>
      </c>
      <c r="AE455" s="5" t="str">
        <f t="shared" si="55"/>
        <v>Shortage</v>
      </c>
    </row>
    <row r="456" spans="1:31" x14ac:dyDescent="0.25">
      <c r="A456" t="s">
        <v>1141</v>
      </c>
      <c r="B456" s="2">
        <v>46246</v>
      </c>
      <c r="C456" t="s">
        <v>1142</v>
      </c>
      <c r="D456" t="s">
        <v>869</v>
      </c>
      <c r="E456" t="s">
        <v>870</v>
      </c>
      <c r="F456" t="s">
        <v>35</v>
      </c>
      <c r="G456" t="s">
        <v>43</v>
      </c>
      <c r="H456" t="s">
        <v>44</v>
      </c>
      <c r="I456">
        <v>8</v>
      </c>
      <c r="J456">
        <v>25</v>
      </c>
      <c r="K456">
        <v>8</v>
      </c>
      <c r="L456">
        <v>17</v>
      </c>
      <c r="M456">
        <v>0</v>
      </c>
      <c r="N456">
        <v>25</v>
      </c>
      <c r="O456">
        <v>0</v>
      </c>
      <c r="P456">
        <v>41</v>
      </c>
      <c r="Q456">
        <v>7.32</v>
      </c>
      <c r="R456">
        <v>183</v>
      </c>
      <c r="S456">
        <v>24800</v>
      </c>
      <c r="T456">
        <v>21087</v>
      </c>
      <c r="U456">
        <v>372</v>
      </c>
      <c r="V456">
        <v>20715</v>
      </c>
      <c r="W456" s="3">
        <f t="shared" si="49"/>
        <v>113.19672131147541</v>
      </c>
      <c r="X456">
        <v>118.01656521145939</v>
      </c>
      <c r="Y456" s="3">
        <v>118.01656521145939</v>
      </c>
      <c r="Z456" s="4">
        <f t="shared" si="50"/>
        <v>0.95915959855849142</v>
      </c>
      <c r="AA456" s="5">
        <f t="shared" si="51"/>
        <v>210.13999141191684</v>
      </c>
      <c r="AB456" s="5">
        <f t="shared" si="52"/>
        <v>7.3166666666666664</v>
      </c>
      <c r="AC456" s="5">
        <f t="shared" si="53"/>
        <v>29</v>
      </c>
      <c r="AD456" s="5">
        <f t="shared" si="54"/>
        <v>4</v>
      </c>
      <c r="AE456" s="5" t="str">
        <f t="shared" si="55"/>
        <v>Shortage</v>
      </c>
    </row>
    <row r="457" spans="1:31" x14ac:dyDescent="0.25">
      <c r="A457" t="s">
        <v>1143</v>
      </c>
      <c r="B457" s="2">
        <v>46246</v>
      </c>
      <c r="C457" t="s">
        <v>1144</v>
      </c>
      <c r="D457" t="s">
        <v>275</v>
      </c>
      <c r="E457" t="s">
        <v>276</v>
      </c>
      <c r="F457" t="s">
        <v>55</v>
      </c>
      <c r="G457" t="s">
        <v>79</v>
      </c>
      <c r="H457" t="s">
        <v>44</v>
      </c>
      <c r="I457">
        <v>8</v>
      </c>
      <c r="J457">
        <v>15</v>
      </c>
      <c r="K457">
        <v>7</v>
      </c>
      <c r="L457">
        <v>8</v>
      </c>
      <c r="M457">
        <v>1</v>
      </c>
      <c r="N457">
        <v>14</v>
      </c>
      <c r="O457">
        <v>0</v>
      </c>
      <c r="P457">
        <v>26</v>
      </c>
      <c r="Q457">
        <v>7.57</v>
      </c>
      <c r="R457">
        <v>105.98</v>
      </c>
      <c r="S457">
        <v>12388</v>
      </c>
      <c r="T457">
        <v>11067</v>
      </c>
      <c r="U457">
        <v>203</v>
      </c>
      <c r="V457">
        <v>10864</v>
      </c>
      <c r="W457" s="3">
        <f t="shared" si="49"/>
        <v>102.50990752972258</v>
      </c>
      <c r="X457">
        <v>99.520305551967823</v>
      </c>
      <c r="Y457" s="3">
        <v>99.520305551967823</v>
      </c>
      <c r="Z457" s="4">
        <f t="shared" si="50"/>
        <v>1.0300401205680949</v>
      </c>
      <c r="AA457" s="5">
        <f t="shared" si="51"/>
        <v>124.47710978470816</v>
      </c>
      <c r="AB457" s="5">
        <f t="shared" si="52"/>
        <v>7.5666666666666664</v>
      </c>
      <c r="AC457" s="5">
        <f t="shared" si="53"/>
        <v>17</v>
      </c>
      <c r="AD457" s="5">
        <f t="shared" si="54"/>
        <v>3</v>
      </c>
      <c r="AE457" s="5" t="str">
        <f t="shared" si="55"/>
        <v>Shortage</v>
      </c>
    </row>
    <row r="458" spans="1:31" x14ac:dyDescent="0.25">
      <c r="A458" t="s">
        <v>1145</v>
      </c>
      <c r="B458" s="2">
        <v>46247</v>
      </c>
      <c r="C458" t="s">
        <v>1146</v>
      </c>
      <c r="D458" t="s">
        <v>53</v>
      </c>
      <c r="E458" t="s">
        <v>54</v>
      </c>
      <c r="F458" t="s">
        <v>55</v>
      </c>
      <c r="G458" t="s">
        <v>36</v>
      </c>
      <c r="H458" t="s">
        <v>88</v>
      </c>
      <c r="I458">
        <v>10</v>
      </c>
      <c r="J458">
        <v>19</v>
      </c>
      <c r="K458">
        <v>6</v>
      </c>
      <c r="L458">
        <v>13</v>
      </c>
      <c r="M458">
        <v>0</v>
      </c>
      <c r="N458">
        <v>19</v>
      </c>
      <c r="O458">
        <v>0</v>
      </c>
      <c r="P458">
        <v>59</v>
      </c>
      <c r="Q458">
        <v>9.02</v>
      </c>
      <c r="R458">
        <v>171.38</v>
      </c>
      <c r="S458">
        <v>22877</v>
      </c>
      <c r="T458">
        <v>18920</v>
      </c>
      <c r="U458">
        <v>371</v>
      </c>
      <c r="V458">
        <v>18549</v>
      </c>
      <c r="W458" s="3">
        <f t="shared" si="49"/>
        <v>108.23316606371806</v>
      </c>
      <c r="X458">
        <v>108.32817332835501</v>
      </c>
      <c r="Y458" s="3">
        <v>108.32817332835501</v>
      </c>
      <c r="Z458" s="4">
        <f t="shared" si="50"/>
        <v>0.99912296809114498</v>
      </c>
      <c r="AA458" s="5">
        <f t="shared" si="51"/>
        <v>211.18236648057575</v>
      </c>
      <c r="AB458" s="5">
        <f t="shared" si="52"/>
        <v>9.0166666666666675</v>
      </c>
      <c r="AC458" s="5">
        <f t="shared" si="53"/>
        <v>24</v>
      </c>
      <c r="AD458" s="5">
        <f t="shared" si="54"/>
        <v>5</v>
      </c>
      <c r="AE458" s="5" t="str">
        <f t="shared" si="55"/>
        <v>Shortage</v>
      </c>
    </row>
    <row r="459" spans="1:31" x14ac:dyDescent="0.25">
      <c r="A459" t="s">
        <v>1147</v>
      </c>
      <c r="B459" s="2">
        <v>46248</v>
      </c>
      <c r="C459" t="s">
        <v>1148</v>
      </c>
      <c r="D459" t="s">
        <v>522</v>
      </c>
      <c r="E459" t="s">
        <v>523</v>
      </c>
      <c r="F459" t="s">
        <v>55</v>
      </c>
      <c r="G459" t="s">
        <v>36</v>
      </c>
      <c r="H459" t="s">
        <v>44</v>
      </c>
      <c r="I459">
        <v>10</v>
      </c>
      <c r="J459">
        <v>18</v>
      </c>
      <c r="K459">
        <v>7</v>
      </c>
      <c r="L459">
        <v>11</v>
      </c>
      <c r="M459">
        <v>0</v>
      </c>
      <c r="N459">
        <v>18</v>
      </c>
      <c r="O459">
        <v>0</v>
      </c>
      <c r="P459">
        <v>48</v>
      </c>
      <c r="Q459">
        <v>9.1999999999999993</v>
      </c>
      <c r="R459">
        <v>165.6</v>
      </c>
      <c r="S459">
        <v>20438</v>
      </c>
      <c r="T459">
        <v>19962</v>
      </c>
      <c r="U459">
        <v>283</v>
      </c>
      <c r="V459">
        <v>19679</v>
      </c>
      <c r="W459" s="3">
        <f t="shared" si="49"/>
        <v>118.83454106280193</v>
      </c>
      <c r="X459">
        <v>108.32817332835501</v>
      </c>
      <c r="Y459" s="3">
        <v>108.32817332835501</v>
      </c>
      <c r="Z459" s="4">
        <f t="shared" si="50"/>
        <v>1.0969864755551719</v>
      </c>
      <c r="AA459" s="5">
        <f t="shared" si="51"/>
        <v>188.66744792280488</v>
      </c>
      <c r="AB459" s="5">
        <f t="shared" si="52"/>
        <v>9.1999999999999993</v>
      </c>
      <c r="AC459" s="5">
        <f t="shared" si="53"/>
        <v>21</v>
      </c>
      <c r="AD459" s="5">
        <f t="shared" si="54"/>
        <v>3</v>
      </c>
      <c r="AE459" s="5" t="str">
        <f t="shared" si="55"/>
        <v>Shortage</v>
      </c>
    </row>
    <row r="460" spans="1:31" x14ac:dyDescent="0.25">
      <c r="A460" t="s">
        <v>1149</v>
      </c>
      <c r="B460" s="2">
        <v>46249</v>
      </c>
      <c r="C460" t="s">
        <v>1150</v>
      </c>
      <c r="D460" t="s">
        <v>452</v>
      </c>
      <c r="E460" t="s">
        <v>453</v>
      </c>
      <c r="F460" t="s">
        <v>68</v>
      </c>
      <c r="G460" t="s">
        <v>36</v>
      </c>
      <c r="H460" t="s">
        <v>69</v>
      </c>
      <c r="I460">
        <v>8</v>
      </c>
      <c r="J460">
        <v>26</v>
      </c>
      <c r="K460">
        <v>10</v>
      </c>
      <c r="L460">
        <v>16</v>
      </c>
      <c r="M460">
        <v>0</v>
      </c>
      <c r="N460">
        <v>26</v>
      </c>
      <c r="O460">
        <v>0</v>
      </c>
      <c r="P460">
        <v>24</v>
      </c>
      <c r="Q460">
        <v>7.6</v>
      </c>
      <c r="R460">
        <v>197.6</v>
      </c>
      <c r="S460">
        <v>29214</v>
      </c>
      <c r="T460">
        <v>25239</v>
      </c>
      <c r="U460">
        <v>579</v>
      </c>
      <c r="V460">
        <v>24660</v>
      </c>
      <c r="W460" s="3">
        <f t="shared" si="49"/>
        <v>124.79757085020243</v>
      </c>
      <c r="X460">
        <v>120.8174989437542</v>
      </c>
      <c r="Y460" s="3">
        <v>120.8174989437542</v>
      </c>
      <c r="Z460" s="4">
        <f t="shared" si="50"/>
        <v>1.0329428430586958</v>
      </c>
      <c r="AA460" s="5">
        <f t="shared" si="51"/>
        <v>241.80272109092729</v>
      </c>
      <c r="AB460" s="5">
        <f t="shared" si="52"/>
        <v>7.6</v>
      </c>
      <c r="AC460" s="5">
        <f t="shared" si="53"/>
        <v>32</v>
      </c>
      <c r="AD460" s="5">
        <f t="shared" si="54"/>
        <v>6</v>
      </c>
      <c r="AE460" s="5" t="str">
        <f t="shared" si="55"/>
        <v>Shortage</v>
      </c>
    </row>
    <row r="461" spans="1:31" x14ac:dyDescent="0.25">
      <c r="A461" t="s">
        <v>1151</v>
      </c>
      <c r="B461" s="2">
        <v>46249</v>
      </c>
      <c r="C461" t="s">
        <v>1152</v>
      </c>
      <c r="D461" t="s">
        <v>66</v>
      </c>
      <c r="E461" t="s">
        <v>67</v>
      </c>
      <c r="F461" t="s">
        <v>49</v>
      </c>
      <c r="G461" t="s">
        <v>79</v>
      </c>
      <c r="H461" t="s">
        <v>50</v>
      </c>
      <c r="I461">
        <v>9</v>
      </c>
      <c r="J461">
        <v>19</v>
      </c>
      <c r="K461">
        <v>8</v>
      </c>
      <c r="L461">
        <v>11</v>
      </c>
      <c r="M461">
        <v>1</v>
      </c>
      <c r="N461">
        <v>18</v>
      </c>
      <c r="O461">
        <v>2</v>
      </c>
      <c r="P461">
        <v>36</v>
      </c>
      <c r="Q461">
        <v>8.4</v>
      </c>
      <c r="R461">
        <v>151.19999999999999</v>
      </c>
      <c r="S461">
        <v>14090</v>
      </c>
      <c r="T461">
        <v>13037</v>
      </c>
      <c r="U461">
        <v>397</v>
      </c>
      <c r="V461">
        <v>12640</v>
      </c>
      <c r="W461" s="3">
        <f t="shared" si="49"/>
        <v>83.597883597883609</v>
      </c>
      <c r="X461">
        <v>107.36289227751951</v>
      </c>
      <c r="Y461" s="3">
        <v>107.36289227751951</v>
      </c>
      <c r="Z461" s="4">
        <f t="shared" si="50"/>
        <v>0.77864783468941623</v>
      </c>
      <c r="AA461" s="5">
        <f t="shared" si="51"/>
        <v>131.23715001621912</v>
      </c>
      <c r="AB461" s="5">
        <f t="shared" si="52"/>
        <v>8.4</v>
      </c>
      <c r="AC461" s="5">
        <f t="shared" si="53"/>
        <v>16</v>
      </c>
      <c r="AD461" s="5">
        <f t="shared" si="54"/>
        <v>-2</v>
      </c>
      <c r="AE461" s="5" t="str">
        <f t="shared" si="55"/>
        <v>Surplus</v>
      </c>
    </row>
    <row r="462" spans="1:31" x14ac:dyDescent="0.25">
      <c r="A462" t="s">
        <v>1153</v>
      </c>
      <c r="B462" s="2">
        <v>46250</v>
      </c>
      <c r="C462" t="s">
        <v>1154</v>
      </c>
      <c r="D462" t="s">
        <v>667</v>
      </c>
      <c r="E462" t="s">
        <v>668</v>
      </c>
      <c r="F462" t="s">
        <v>35</v>
      </c>
      <c r="G462" t="s">
        <v>36</v>
      </c>
      <c r="H462" t="s">
        <v>74</v>
      </c>
      <c r="I462">
        <v>8</v>
      </c>
      <c r="J462">
        <v>22</v>
      </c>
      <c r="K462">
        <v>7</v>
      </c>
      <c r="L462">
        <v>15</v>
      </c>
      <c r="M462">
        <v>0</v>
      </c>
      <c r="N462">
        <v>22</v>
      </c>
      <c r="O462">
        <v>0</v>
      </c>
      <c r="P462">
        <v>6</v>
      </c>
      <c r="Q462">
        <v>7.9</v>
      </c>
      <c r="R462">
        <v>173.8</v>
      </c>
      <c r="S462">
        <v>22293</v>
      </c>
      <c r="T462">
        <v>23457</v>
      </c>
      <c r="U462">
        <v>355</v>
      </c>
      <c r="V462">
        <v>23102</v>
      </c>
      <c r="W462" s="3">
        <f t="shared" si="49"/>
        <v>132.92289988492519</v>
      </c>
      <c r="X462">
        <v>114.1563708384419</v>
      </c>
      <c r="Y462" s="3">
        <v>114.1563708384419</v>
      </c>
      <c r="Z462" s="4">
        <f t="shared" si="50"/>
        <v>1.1643931819893112</v>
      </c>
      <c r="AA462" s="5">
        <f t="shared" si="51"/>
        <v>195.28476454064781</v>
      </c>
      <c r="AB462" s="5">
        <f t="shared" si="52"/>
        <v>7.9</v>
      </c>
      <c r="AC462" s="5">
        <f t="shared" si="53"/>
        <v>25</v>
      </c>
      <c r="AD462" s="5">
        <f t="shared" si="54"/>
        <v>3</v>
      </c>
      <c r="AE462" s="5" t="str">
        <f t="shared" si="55"/>
        <v>Shortage</v>
      </c>
    </row>
    <row r="463" spans="1:31" x14ac:dyDescent="0.25">
      <c r="A463" t="s">
        <v>1155</v>
      </c>
      <c r="B463" s="2">
        <v>46251</v>
      </c>
      <c r="C463" t="s">
        <v>1156</v>
      </c>
      <c r="D463" t="s">
        <v>58</v>
      </c>
      <c r="E463" t="s">
        <v>59</v>
      </c>
      <c r="F463" t="s">
        <v>68</v>
      </c>
      <c r="G463" t="s">
        <v>36</v>
      </c>
      <c r="H463" t="s">
        <v>50</v>
      </c>
      <c r="I463">
        <v>9</v>
      </c>
      <c r="J463">
        <v>22</v>
      </c>
      <c r="K463">
        <v>8</v>
      </c>
      <c r="L463">
        <v>14</v>
      </c>
      <c r="M463">
        <v>1</v>
      </c>
      <c r="N463">
        <v>21</v>
      </c>
      <c r="O463">
        <v>0</v>
      </c>
      <c r="P463">
        <v>11</v>
      </c>
      <c r="Q463">
        <v>8.82</v>
      </c>
      <c r="R463">
        <v>185.22</v>
      </c>
      <c r="S463">
        <v>18877</v>
      </c>
      <c r="T463">
        <v>15987</v>
      </c>
      <c r="U463">
        <v>693</v>
      </c>
      <c r="V463">
        <v>15294</v>
      </c>
      <c r="W463" s="3">
        <f t="shared" si="49"/>
        <v>82.572076449627474</v>
      </c>
      <c r="X463">
        <v>120.8174989437542</v>
      </c>
      <c r="Y463" s="3">
        <v>120.8174989437542</v>
      </c>
      <c r="Z463" s="4">
        <f t="shared" si="50"/>
        <v>0.68344467623906335</v>
      </c>
      <c r="AA463" s="5">
        <f t="shared" si="51"/>
        <v>156.24392298327632</v>
      </c>
      <c r="AB463" s="5">
        <f t="shared" si="52"/>
        <v>8.8166666666666664</v>
      </c>
      <c r="AC463" s="5">
        <f t="shared" si="53"/>
        <v>18</v>
      </c>
      <c r="AD463" s="5">
        <f t="shared" si="54"/>
        <v>-3</v>
      </c>
      <c r="AE463" s="5" t="str">
        <f t="shared" si="55"/>
        <v>Surplus</v>
      </c>
    </row>
    <row r="464" spans="1:31" x14ac:dyDescent="0.25">
      <c r="A464" t="s">
        <v>1157</v>
      </c>
      <c r="B464" s="2">
        <v>46252</v>
      </c>
      <c r="C464" t="s">
        <v>1158</v>
      </c>
      <c r="D464" t="s">
        <v>297</v>
      </c>
      <c r="E464" t="s">
        <v>298</v>
      </c>
      <c r="F464" t="s">
        <v>55</v>
      </c>
      <c r="G464" t="s">
        <v>43</v>
      </c>
      <c r="H464" t="s">
        <v>69</v>
      </c>
      <c r="I464">
        <v>10</v>
      </c>
      <c r="J464">
        <v>17</v>
      </c>
      <c r="K464">
        <v>7</v>
      </c>
      <c r="L464">
        <v>10</v>
      </c>
      <c r="M464">
        <v>1</v>
      </c>
      <c r="N464">
        <v>16</v>
      </c>
      <c r="O464">
        <v>0</v>
      </c>
      <c r="P464">
        <v>17</v>
      </c>
      <c r="Q464">
        <v>9.7200000000000006</v>
      </c>
      <c r="R464">
        <v>155.52000000000001</v>
      </c>
      <c r="S464">
        <v>14854</v>
      </c>
      <c r="T464">
        <v>13535</v>
      </c>
      <c r="U464">
        <v>436</v>
      </c>
      <c r="V464">
        <v>13099</v>
      </c>
      <c r="W464" s="3">
        <f t="shared" si="49"/>
        <v>84.227109053497941</v>
      </c>
      <c r="X464">
        <v>109.38855294136761</v>
      </c>
      <c r="Y464" s="3">
        <v>109.38855294136761</v>
      </c>
      <c r="Z464" s="4">
        <f t="shared" si="50"/>
        <v>0.76998101527719975</v>
      </c>
      <c r="AA464" s="5">
        <f t="shared" si="51"/>
        <v>135.79117376168017</v>
      </c>
      <c r="AB464" s="5">
        <f t="shared" si="52"/>
        <v>9.7166666666666668</v>
      </c>
      <c r="AC464" s="5">
        <f t="shared" si="53"/>
        <v>14</v>
      </c>
      <c r="AD464" s="5">
        <f t="shared" si="54"/>
        <v>-2</v>
      </c>
      <c r="AE464" s="5" t="str">
        <f t="shared" si="55"/>
        <v>Surplus</v>
      </c>
    </row>
    <row r="465" spans="1:31" x14ac:dyDescent="0.25">
      <c r="A465" t="s">
        <v>1159</v>
      </c>
      <c r="B465" s="2">
        <v>46252</v>
      </c>
      <c r="C465" t="s">
        <v>1160</v>
      </c>
      <c r="D465" t="s">
        <v>599</v>
      </c>
      <c r="E465" t="s">
        <v>600</v>
      </c>
      <c r="F465" t="s">
        <v>55</v>
      </c>
      <c r="G465" t="s">
        <v>79</v>
      </c>
      <c r="H465" t="s">
        <v>37</v>
      </c>
      <c r="I465">
        <v>10</v>
      </c>
      <c r="J465">
        <v>12</v>
      </c>
      <c r="K465">
        <v>4</v>
      </c>
      <c r="L465">
        <v>8</v>
      </c>
      <c r="M465">
        <v>0</v>
      </c>
      <c r="N465">
        <v>12</v>
      </c>
      <c r="O465">
        <v>2</v>
      </c>
      <c r="P465">
        <v>13</v>
      </c>
      <c r="Q465">
        <v>9.7799999999999994</v>
      </c>
      <c r="R465">
        <v>117.36</v>
      </c>
      <c r="S465">
        <v>12055</v>
      </c>
      <c r="T465">
        <v>12679</v>
      </c>
      <c r="U465">
        <v>226</v>
      </c>
      <c r="V465">
        <v>12453</v>
      </c>
      <c r="W465" s="3">
        <f t="shared" si="49"/>
        <v>106.10940695296523</v>
      </c>
      <c r="X465">
        <v>99.520305551967823</v>
      </c>
      <c r="Y465" s="3">
        <v>99.520305551967823</v>
      </c>
      <c r="Z465" s="4">
        <f t="shared" si="50"/>
        <v>1.0662086130508983</v>
      </c>
      <c r="AA465" s="5">
        <f t="shared" si="51"/>
        <v>121.13105896469624</v>
      </c>
      <c r="AB465" s="5">
        <f t="shared" si="52"/>
        <v>9.7833333333333332</v>
      </c>
      <c r="AC465" s="5">
        <f t="shared" si="53"/>
        <v>13</v>
      </c>
      <c r="AD465" s="5">
        <f t="shared" si="54"/>
        <v>1</v>
      </c>
      <c r="AE465" s="5" t="str">
        <f t="shared" si="55"/>
        <v>Shortage</v>
      </c>
    </row>
    <row r="466" spans="1:31" x14ac:dyDescent="0.25">
      <c r="A466" t="s">
        <v>1161</v>
      </c>
      <c r="B466" s="2">
        <v>46253</v>
      </c>
      <c r="C466" t="s">
        <v>1162</v>
      </c>
      <c r="D466" t="s">
        <v>271</v>
      </c>
      <c r="E466" t="s">
        <v>272</v>
      </c>
      <c r="F466" t="s">
        <v>49</v>
      </c>
      <c r="G466" t="s">
        <v>79</v>
      </c>
      <c r="H466" t="s">
        <v>50</v>
      </c>
      <c r="I466">
        <v>8</v>
      </c>
      <c r="J466">
        <v>17</v>
      </c>
      <c r="K466">
        <v>6</v>
      </c>
      <c r="L466">
        <v>11</v>
      </c>
      <c r="M466">
        <v>0</v>
      </c>
      <c r="N466">
        <v>17</v>
      </c>
      <c r="O466">
        <v>2</v>
      </c>
      <c r="P466">
        <v>45</v>
      </c>
      <c r="Q466">
        <v>7.25</v>
      </c>
      <c r="R466">
        <v>123.25</v>
      </c>
      <c r="S466">
        <v>11672</v>
      </c>
      <c r="T466">
        <v>9690</v>
      </c>
      <c r="U466">
        <v>189</v>
      </c>
      <c r="V466">
        <v>9501</v>
      </c>
      <c r="W466" s="3">
        <f t="shared" si="49"/>
        <v>77.087221095334684</v>
      </c>
      <c r="X466">
        <v>107.36289227751951</v>
      </c>
      <c r="Y466" s="3">
        <v>107.36289227751951</v>
      </c>
      <c r="Z466" s="4">
        <f t="shared" si="50"/>
        <v>0.71800618873114896</v>
      </c>
      <c r="AA466" s="5">
        <f t="shared" si="51"/>
        <v>108.71540205743857</v>
      </c>
      <c r="AB466" s="5">
        <f t="shared" si="52"/>
        <v>7.25</v>
      </c>
      <c r="AC466" s="5">
        <f t="shared" si="53"/>
        <v>15</v>
      </c>
      <c r="AD466" s="5">
        <f t="shared" si="54"/>
        <v>-2</v>
      </c>
      <c r="AE466" s="5" t="str">
        <f t="shared" si="55"/>
        <v>Surplus</v>
      </c>
    </row>
    <row r="467" spans="1:31" x14ac:dyDescent="0.25">
      <c r="A467" t="s">
        <v>1163</v>
      </c>
      <c r="B467" s="2">
        <v>46254</v>
      </c>
      <c r="C467" t="s">
        <v>1164</v>
      </c>
      <c r="D467" t="s">
        <v>138</v>
      </c>
      <c r="E467" t="s">
        <v>139</v>
      </c>
      <c r="F467" t="s">
        <v>35</v>
      </c>
      <c r="G467" t="s">
        <v>36</v>
      </c>
      <c r="H467" t="s">
        <v>69</v>
      </c>
      <c r="I467">
        <v>8</v>
      </c>
      <c r="J467">
        <v>22</v>
      </c>
      <c r="K467">
        <v>11</v>
      </c>
      <c r="L467">
        <v>11</v>
      </c>
      <c r="M467">
        <v>0</v>
      </c>
      <c r="N467">
        <v>22</v>
      </c>
      <c r="O467">
        <v>0</v>
      </c>
      <c r="P467">
        <v>47</v>
      </c>
      <c r="Q467">
        <v>7.22</v>
      </c>
      <c r="R467">
        <v>158.84</v>
      </c>
      <c r="S467">
        <v>23103</v>
      </c>
      <c r="T467">
        <v>20947</v>
      </c>
      <c r="U467">
        <v>425</v>
      </c>
      <c r="V467">
        <v>20522</v>
      </c>
      <c r="W467" s="3">
        <f t="shared" si="49"/>
        <v>129.19919415764292</v>
      </c>
      <c r="X467">
        <v>114.1563708384419</v>
      </c>
      <c r="Y467" s="3">
        <v>114.1563708384419</v>
      </c>
      <c r="Z467" s="4">
        <f t="shared" si="50"/>
        <v>1.1317738397665966</v>
      </c>
      <c r="AA467" s="5">
        <f t="shared" si="51"/>
        <v>202.3802949438203</v>
      </c>
      <c r="AB467" s="5">
        <f t="shared" si="52"/>
        <v>7.2166666666666668</v>
      </c>
      <c r="AC467" s="5">
        <f t="shared" si="53"/>
        <v>29</v>
      </c>
      <c r="AD467" s="5">
        <f t="shared" si="54"/>
        <v>7</v>
      </c>
      <c r="AE467" s="5" t="str">
        <f t="shared" si="55"/>
        <v>Shortage</v>
      </c>
    </row>
    <row r="468" spans="1:31" x14ac:dyDescent="0.25">
      <c r="A468" t="s">
        <v>1165</v>
      </c>
      <c r="B468" s="2">
        <v>46254</v>
      </c>
      <c r="C468" t="s">
        <v>1166</v>
      </c>
      <c r="D468" t="s">
        <v>336</v>
      </c>
      <c r="E468" t="s">
        <v>337</v>
      </c>
      <c r="F468" t="s">
        <v>42</v>
      </c>
      <c r="G468" t="s">
        <v>79</v>
      </c>
      <c r="H468" t="s">
        <v>88</v>
      </c>
      <c r="I468">
        <v>8</v>
      </c>
      <c r="J468">
        <v>13</v>
      </c>
      <c r="K468">
        <v>4</v>
      </c>
      <c r="L468">
        <v>9</v>
      </c>
      <c r="M468">
        <v>0</v>
      </c>
      <c r="N468">
        <v>13</v>
      </c>
      <c r="O468">
        <v>0</v>
      </c>
      <c r="P468">
        <v>47</v>
      </c>
      <c r="Q468">
        <v>7.22</v>
      </c>
      <c r="R468">
        <v>93.86</v>
      </c>
      <c r="S468">
        <v>7888</v>
      </c>
      <c r="T468">
        <v>7174</v>
      </c>
      <c r="U468">
        <v>221</v>
      </c>
      <c r="V468">
        <v>6953</v>
      </c>
      <c r="W468" s="3">
        <f t="shared" si="49"/>
        <v>74.078414660132111</v>
      </c>
      <c r="X468">
        <v>99.399922570654283</v>
      </c>
      <c r="Y468" s="3">
        <v>99.399922570654283</v>
      </c>
      <c r="Z468" s="4">
        <f t="shared" si="50"/>
        <v>0.74525626121566202</v>
      </c>
      <c r="AA468" s="5">
        <f t="shared" si="51"/>
        <v>79.356198636806226</v>
      </c>
      <c r="AB468" s="5">
        <f t="shared" si="52"/>
        <v>7.2166666666666668</v>
      </c>
      <c r="AC468" s="5">
        <f t="shared" si="53"/>
        <v>11</v>
      </c>
      <c r="AD468" s="5">
        <f t="shared" si="54"/>
        <v>-2</v>
      </c>
      <c r="AE468" s="5" t="str">
        <f t="shared" si="55"/>
        <v>Surplus</v>
      </c>
    </row>
    <row r="469" spans="1:31" x14ac:dyDescent="0.25">
      <c r="A469" t="s">
        <v>1167</v>
      </c>
      <c r="B469" s="2">
        <v>46255</v>
      </c>
      <c r="C469" t="s">
        <v>1168</v>
      </c>
      <c r="D469" t="s">
        <v>152</v>
      </c>
      <c r="E469" t="s">
        <v>153</v>
      </c>
      <c r="F469" t="s">
        <v>55</v>
      </c>
      <c r="G469" t="s">
        <v>79</v>
      </c>
      <c r="H469" t="s">
        <v>69</v>
      </c>
      <c r="I469">
        <v>9</v>
      </c>
      <c r="J469">
        <v>11</v>
      </c>
      <c r="K469">
        <v>4</v>
      </c>
      <c r="L469">
        <v>7</v>
      </c>
      <c r="M469">
        <v>0</v>
      </c>
      <c r="N469">
        <v>11</v>
      </c>
      <c r="O469">
        <v>2</v>
      </c>
      <c r="P469">
        <v>55</v>
      </c>
      <c r="Q469">
        <v>8.08</v>
      </c>
      <c r="R469">
        <v>88.88</v>
      </c>
      <c r="S469">
        <v>9114</v>
      </c>
      <c r="T469">
        <v>9345</v>
      </c>
      <c r="U469">
        <v>242</v>
      </c>
      <c r="V469">
        <v>9103</v>
      </c>
      <c r="W469" s="3">
        <f t="shared" si="49"/>
        <v>102.41899189918992</v>
      </c>
      <c r="X469">
        <v>99.520305551967823</v>
      </c>
      <c r="Y469" s="3">
        <v>99.520305551967823</v>
      </c>
      <c r="Z469" s="4">
        <f t="shared" si="50"/>
        <v>1.029126582069309</v>
      </c>
      <c r="AA469" s="5">
        <f t="shared" si="51"/>
        <v>91.579300821587836</v>
      </c>
      <c r="AB469" s="5">
        <f t="shared" si="52"/>
        <v>8.0833333333333339</v>
      </c>
      <c r="AC469" s="5">
        <f t="shared" si="53"/>
        <v>12</v>
      </c>
      <c r="AD469" s="5">
        <f t="shared" si="54"/>
        <v>1</v>
      </c>
      <c r="AE469" s="5" t="str">
        <f t="shared" si="55"/>
        <v>Shortage</v>
      </c>
    </row>
    <row r="470" spans="1:31" x14ac:dyDescent="0.25">
      <c r="A470" t="s">
        <v>1169</v>
      </c>
      <c r="B470" s="2">
        <v>46255</v>
      </c>
      <c r="C470" t="s">
        <v>1170</v>
      </c>
      <c r="D470" t="s">
        <v>309</v>
      </c>
      <c r="E470" t="s">
        <v>135</v>
      </c>
      <c r="F470" t="s">
        <v>55</v>
      </c>
      <c r="G470" t="s">
        <v>79</v>
      </c>
      <c r="H470" t="s">
        <v>44</v>
      </c>
      <c r="I470">
        <v>8</v>
      </c>
      <c r="J470">
        <v>16</v>
      </c>
      <c r="K470">
        <v>6</v>
      </c>
      <c r="L470">
        <v>10</v>
      </c>
      <c r="M470">
        <v>0</v>
      </c>
      <c r="N470">
        <v>16</v>
      </c>
      <c r="O470">
        <v>0</v>
      </c>
      <c r="P470">
        <v>35</v>
      </c>
      <c r="Q470">
        <v>7.42</v>
      </c>
      <c r="R470">
        <v>118.72</v>
      </c>
      <c r="S470">
        <v>12455</v>
      </c>
      <c r="T470">
        <v>10378</v>
      </c>
      <c r="U470">
        <v>218</v>
      </c>
      <c r="V470">
        <v>10160</v>
      </c>
      <c r="W470" s="3">
        <f t="shared" si="49"/>
        <v>85.57951482479784</v>
      </c>
      <c r="X470">
        <v>99.520305551967823</v>
      </c>
      <c r="Y470" s="3">
        <v>99.520305551967823</v>
      </c>
      <c r="Z470" s="4">
        <f t="shared" si="50"/>
        <v>0.85992013740461903</v>
      </c>
      <c r="AA470" s="5">
        <f t="shared" si="51"/>
        <v>125.15033922897483</v>
      </c>
      <c r="AB470" s="5">
        <f t="shared" si="52"/>
        <v>7.416666666666667</v>
      </c>
      <c r="AC470" s="5">
        <f t="shared" si="53"/>
        <v>17</v>
      </c>
      <c r="AD470" s="5">
        <f t="shared" si="54"/>
        <v>1</v>
      </c>
      <c r="AE470" s="5" t="str">
        <f t="shared" si="55"/>
        <v>Shortage</v>
      </c>
    </row>
    <row r="471" spans="1:31" x14ac:dyDescent="0.25">
      <c r="A471" t="s">
        <v>1171</v>
      </c>
      <c r="B471" s="2">
        <v>46256</v>
      </c>
      <c r="C471" t="s">
        <v>1172</v>
      </c>
      <c r="D471" t="s">
        <v>440</v>
      </c>
      <c r="E471" t="s">
        <v>441</v>
      </c>
      <c r="F471" t="s">
        <v>35</v>
      </c>
      <c r="G471" t="s">
        <v>43</v>
      </c>
      <c r="H471" t="s">
        <v>69</v>
      </c>
      <c r="I471">
        <v>10</v>
      </c>
      <c r="J471">
        <v>19</v>
      </c>
      <c r="K471">
        <v>9</v>
      </c>
      <c r="L471">
        <v>10</v>
      </c>
      <c r="M471">
        <v>0</v>
      </c>
      <c r="N471">
        <v>19</v>
      </c>
      <c r="O471">
        <v>0</v>
      </c>
      <c r="P471">
        <v>33</v>
      </c>
      <c r="Q471">
        <v>9.4499999999999993</v>
      </c>
      <c r="R471">
        <v>179.55</v>
      </c>
      <c r="S471">
        <v>24080</v>
      </c>
      <c r="T471">
        <v>20760</v>
      </c>
      <c r="U471">
        <v>470</v>
      </c>
      <c r="V471">
        <v>20290</v>
      </c>
      <c r="W471" s="3">
        <f t="shared" si="49"/>
        <v>113.00473405736562</v>
      </c>
      <c r="X471">
        <v>118.01656521145939</v>
      </c>
      <c r="Y471" s="3">
        <v>118.01656521145939</v>
      </c>
      <c r="Z471" s="4">
        <f t="shared" si="50"/>
        <v>0.95753281630325637</v>
      </c>
      <c r="AA471" s="5">
        <f t="shared" si="51"/>
        <v>204.03915295157086</v>
      </c>
      <c r="AB471" s="5">
        <f t="shared" si="52"/>
        <v>9.4499999999999993</v>
      </c>
      <c r="AC471" s="5">
        <f t="shared" si="53"/>
        <v>22</v>
      </c>
      <c r="AD471" s="5">
        <f t="shared" si="54"/>
        <v>3</v>
      </c>
      <c r="AE471" s="5" t="str">
        <f t="shared" si="55"/>
        <v>Shortage</v>
      </c>
    </row>
    <row r="472" spans="1:31" x14ac:dyDescent="0.25">
      <c r="A472" t="s">
        <v>1173</v>
      </c>
      <c r="B472" s="2">
        <v>46258</v>
      </c>
      <c r="C472" t="s">
        <v>1174</v>
      </c>
      <c r="D472" t="s">
        <v>320</v>
      </c>
      <c r="E472" t="s">
        <v>321</v>
      </c>
      <c r="F472" t="s">
        <v>49</v>
      </c>
      <c r="G472" t="s">
        <v>43</v>
      </c>
      <c r="H472" t="s">
        <v>74</v>
      </c>
      <c r="I472">
        <v>8</v>
      </c>
      <c r="J472">
        <v>27</v>
      </c>
      <c r="K472">
        <v>13</v>
      </c>
      <c r="L472">
        <v>14</v>
      </c>
      <c r="M472">
        <v>1</v>
      </c>
      <c r="N472">
        <v>26</v>
      </c>
      <c r="O472">
        <v>2</v>
      </c>
      <c r="P472">
        <v>47</v>
      </c>
      <c r="Q472">
        <v>7.22</v>
      </c>
      <c r="R472">
        <v>187.72</v>
      </c>
      <c r="S472">
        <v>28192</v>
      </c>
      <c r="T472">
        <v>22572</v>
      </c>
      <c r="U472">
        <v>695</v>
      </c>
      <c r="V472">
        <v>21877</v>
      </c>
      <c r="W472" s="3">
        <f t="shared" si="49"/>
        <v>116.54059237161731</v>
      </c>
      <c r="X472">
        <v>124.78240035826239</v>
      </c>
      <c r="Y472" s="3">
        <v>124.78240035826239</v>
      </c>
      <c r="Z472" s="4">
        <f t="shared" si="50"/>
        <v>0.93395055742651167</v>
      </c>
      <c r="AA472" s="5">
        <f t="shared" si="51"/>
        <v>225.92929707280857</v>
      </c>
      <c r="AB472" s="5">
        <f t="shared" si="52"/>
        <v>7.2166666666666668</v>
      </c>
      <c r="AC472" s="5">
        <f t="shared" si="53"/>
        <v>32</v>
      </c>
      <c r="AD472" s="5">
        <f t="shared" si="54"/>
        <v>6</v>
      </c>
      <c r="AE472" s="5" t="str">
        <f t="shared" si="55"/>
        <v>Shortage</v>
      </c>
    </row>
    <row r="473" spans="1:31" x14ac:dyDescent="0.25">
      <c r="A473" t="s">
        <v>1175</v>
      </c>
      <c r="B473" s="2">
        <v>46261</v>
      </c>
      <c r="C473" t="s">
        <v>1176</v>
      </c>
      <c r="D473" t="s">
        <v>257</v>
      </c>
      <c r="E473" t="s">
        <v>258</v>
      </c>
      <c r="F473" t="s">
        <v>55</v>
      </c>
      <c r="G473" t="s">
        <v>36</v>
      </c>
      <c r="H473" t="s">
        <v>69</v>
      </c>
      <c r="I473">
        <v>8</v>
      </c>
      <c r="J473">
        <v>18</v>
      </c>
      <c r="K473">
        <v>7</v>
      </c>
      <c r="L473">
        <v>11</v>
      </c>
      <c r="M473">
        <v>0</v>
      </c>
      <c r="N473">
        <v>18</v>
      </c>
      <c r="O473">
        <v>3</v>
      </c>
      <c r="P473">
        <v>19</v>
      </c>
      <c r="Q473">
        <v>7.68</v>
      </c>
      <c r="R473">
        <v>138.24</v>
      </c>
      <c r="S473">
        <v>14588</v>
      </c>
      <c r="T473">
        <v>14667</v>
      </c>
      <c r="U473">
        <v>349</v>
      </c>
      <c r="V473">
        <v>14318</v>
      </c>
      <c r="W473" s="3">
        <f t="shared" si="49"/>
        <v>103.57349537037037</v>
      </c>
      <c r="X473">
        <v>108.32817332835501</v>
      </c>
      <c r="Y473" s="3">
        <v>108.32817332835501</v>
      </c>
      <c r="Z473" s="4">
        <f t="shared" si="50"/>
        <v>0.95610857441883867</v>
      </c>
      <c r="AA473" s="5">
        <f t="shared" si="51"/>
        <v>134.66487573626958</v>
      </c>
      <c r="AB473" s="5">
        <f t="shared" si="52"/>
        <v>7.6833333333333336</v>
      </c>
      <c r="AC473" s="5">
        <f t="shared" si="53"/>
        <v>18</v>
      </c>
      <c r="AD473" s="5">
        <f t="shared" si="54"/>
        <v>0</v>
      </c>
      <c r="AE473" s="5" t="str">
        <f t="shared" si="55"/>
        <v>Balanced</v>
      </c>
    </row>
    <row r="474" spans="1:31" x14ac:dyDescent="0.25">
      <c r="A474" t="s">
        <v>1177</v>
      </c>
      <c r="B474" s="2">
        <v>46261</v>
      </c>
      <c r="C474" t="s">
        <v>1178</v>
      </c>
      <c r="D474" t="s">
        <v>119</v>
      </c>
      <c r="E474" t="s">
        <v>120</v>
      </c>
      <c r="F474" t="s">
        <v>55</v>
      </c>
      <c r="G474" t="s">
        <v>43</v>
      </c>
      <c r="H474" t="s">
        <v>74</v>
      </c>
      <c r="I474">
        <v>8</v>
      </c>
      <c r="J474">
        <v>20</v>
      </c>
      <c r="K474">
        <v>7</v>
      </c>
      <c r="L474">
        <v>13</v>
      </c>
      <c r="M474">
        <v>2</v>
      </c>
      <c r="N474">
        <v>18</v>
      </c>
      <c r="O474">
        <v>2</v>
      </c>
      <c r="P474">
        <v>33</v>
      </c>
      <c r="Q474">
        <v>7.45</v>
      </c>
      <c r="R474">
        <v>134.1</v>
      </c>
      <c r="S474">
        <v>16635</v>
      </c>
      <c r="T474">
        <v>15564</v>
      </c>
      <c r="U474">
        <v>114</v>
      </c>
      <c r="V474">
        <v>15450</v>
      </c>
      <c r="W474" s="3">
        <f t="shared" si="49"/>
        <v>115.21252796420582</v>
      </c>
      <c r="X474">
        <v>109.38855294136761</v>
      </c>
      <c r="Y474" s="3">
        <v>109.38855294136761</v>
      </c>
      <c r="Z474" s="4">
        <f t="shared" si="50"/>
        <v>1.0532411743846715</v>
      </c>
      <c r="AA474" s="5">
        <f t="shared" si="51"/>
        <v>152.07258486101722</v>
      </c>
      <c r="AB474" s="5">
        <f t="shared" si="52"/>
        <v>7.45</v>
      </c>
      <c r="AC474" s="5">
        <f t="shared" si="53"/>
        <v>21</v>
      </c>
      <c r="AD474" s="5">
        <f t="shared" si="54"/>
        <v>3</v>
      </c>
      <c r="AE474" s="5" t="str">
        <f t="shared" si="55"/>
        <v>Shortage</v>
      </c>
    </row>
    <row r="475" spans="1:31" x14ac:dyDescent="0.25">
      <c r="A475" t="s">
        <v>1179</v>
      </c>
      <c r="B475" s="2">
        <v>46262</v>
      </c>
      <c r="C475" t="s">
        <v>1180</v>
      </c>
      <c r="D475" t="s">
        <v>452</v>
      </c>
      <c r="E475" t="s">
        <v>453</v>
      </c>
      <c r="F475" t="s">
        <v>55</v>
      </c>
      <c r="G475" t="s">
        <v>36</v>
      </c>
      <c r="H475" t="s">
        <v>44</v>
      </c>
      <c r="I475">
        <v>8</v>
      </c>
      <c r="J475">
        <v>19</v>
      </c>
      <c r="K475">
        <v>8</v>
      </c>
      <c r="L475">
        <v>11</v>
      </c>
      <c r="M475">
        <v>0</v>
      </c>
      <c r="N475">
        <v>19</v>
      </c>
      <c r="O475">
        <v>2</v>
      </c>
      <c r="P475">
        <v>5</v>
      </c>
      <c r="Q475">
        <v>7.92</v>
      </c>
      <c r="R475">
        <v>150.47999999999999</v>
      </c>
      <c r="S475">
        <v>17820</v>
      </c>
      <c r="T475">
        <v>17603</v>
      </c>
      <c r="U475">
        <v>174</v>
      </c>
      <c r="V475">
        <v>17429</v>
      </c>
      <c r="W475" s="3">
        <f t="shared" si="49"/>
        <v>115.82270069112175</v>
      </c>
      <c r="X475">
        <v>108.32817332835501</v>
      </c>
      <c r="Y475" s="3">
        <v>108.32817332835501</v>
      </c>
      <c r="Z475" s="4">
        <f t="shared" si="50"/>
        <v>1.0691835478481668</v>
      </c>
      <c r="AA475" s="5">
        <f t="shared" si="51"/>
        <v>164.50014296821524</v>
      </c>
      <c r="AB475" s="5">
        <f t="shared" si="52"/>
        <v>7.916666666666667</v>
      </c>
      <c r="AC475" s="5">
        <f t="shared" si="53"/>
        <v>21</v>
      </c>
      <c r="AD475" s="5">
        <f t="shared" si="54"/>
        <v>2</v>
      </c>
      <c r="AE475" s="5" t="str">
        <f t="shared" si="55"/>
        <v>Shortage</v>
      </c>
    </row>
    <row r="476" spans="1:31" x14ac:dyDescent="0.25">
      <c r="A476" t="s">
        <v>1181</v>
      </c>
      <c r="B476" s="2">
        <v>46262</v>
      </c>
      <c r="C476" t="s">
        <v>1182</v>
      </c>
      <c r="D476" t="s">
        <v>236</v>
      </c>
      <c r="E476" t="s">
        <v>237</v>
      </c>
      <c r="F476" t="s">
        <v>49</v>
      </c>
      <c r="G476" t="s">
        <v>43</v>
      </c>
      <c r="H476" t="s">
        <v>88</v>
      </c>
      <c r="I476">
        <v>9</v>
      </c>
      <c r="J476">
        <v>22</v>
      </c>
      <c r="K476">
        <v>9</v>
      </c>
      <c r="L476">
        <v>13</v>
      </c>
      <c r="M476">
        <v>0</v>
      </c>
      <c r="N476">
        <v>22</v>
      </c>
      <c r="O476">
        <v>3</v>
      </c>
      <c r="P476">
        <v>5</v>
      </c>
      <c r="Q476">
        <v>8.92</v>
      </c>
      <c r="R476">
        <v>196.24</v>
      </c>
      <c r="S476">
        <v>25117</v>
      </c>
      <c r="T476">
        <v>24658</v>
      </c>
      <c r="U476">
        <v>637</v>
      </c>
      <c r="V476">
        <v>24021</v>
      </c>
      <c r="W476" s="3">
        <f t="shared" si="49"/>
        <v>122.40623726049735</v>
      </c>
      <c r="X476">
        <v>124.78240035826239</v>
      </c>
      <c r="Y476" s="3">
        <v>124.78240035826239</v>
      </c>
      <c r="Z476" s="4">
        <f t="shared" si="50"/>
        <v>0.98095754616882791</v>
      </c>
      <c r="AA476" s="5">
        <f t="shared" si="51"/>
        <v>201.28639878610008</v>
      </c>
      <c r="AB476" s="5">
        <f t="shared" si="52"/>
        <v>8.9166666666666661</v>
      </c>
      <c r="AC476" s="5">
        <f t="shared" si="53"/>
        <v>23</v>
      </c>
      <c r="AD476" s="5">
        <f t="shared" si="54"/>
        <v>1</v>
      </c>
      <c r="AE476" s="5" t="str">
        <f t="shared" si="55"/>
        <v>Shortage</v>
      </c>
    </row>
    <row r="477" spans="1:31" x14ac:dyDescent="0.25">
      <c r="A477" t="s">
        <v>1183</v>
      </c>
      <c r="B477" s="2">
        <v>46263</v>
      </c>
      <c r="C477" t="s">
        <v>1184</v>
      </c>
      <c r="D477" t="s">
        <v>193</v>
      </c>
      <c r="E477" t="s">
        <v>135</v>
      </c>
      <c r="F477" t="s">
        <v>55</v>
      </c>
      <c r="G477" t="s">
        <v>43</v>
      </c>
      <c r="H477" t="s">
        <v>69</v>
      </c>
      <c r="I477">
        <v>8</v>
      </c>
      <c r="J477">
        <v>20</v>
      </c>
      <c r="K477">
        <v>7</v>
      </c>
      <c r="L477">
        <v>13</v>
      </c>
      <c r="M477">
        <v>0</v>
      </c>
      <c r="N477">
        <v>20</v>
      </c>
      <c r="O477">
        <v>1</v>
      </c>
      <c r="P477">
        <v>13</v>
      </c>
      <c r="Q477">
        <v>7.78</v>
      </c>
      <c r="R477">
        <v>155.6</v>
      </c>
      <c r="S477">
        <v>17465</v>
      </c>
      <c r="T477">
        <v>17771</v>
      </c>
      <c r="U477">
        <v>786</v>
      </c>
      <c r="V477">
        <v>16985</v>
      </c>
      <c r="W477" s="3">
        <f t="shared" si="49"/>
        <v>109.15809768637533</v>
      </c>
      <c r="X477">
        <v>109.38855294136761</v>
      </c>
      <c r="Y477" s="3">
        <v>109.38855294136761</v>
      </c>
      <c r="Z477" s="4">
        <f t="shared" si="50"/>
        <v>0.9978932415797126</v>
      </c>
      <c r="AA477" s="5">
        <f t="shared" si="51"/>
        <v>159.66021608642416</v>
      </c>
      <c r="AB477" s="5">
        <f t="shared" si="52"/>
        <v>7.7833333333333332</v>
      </c>
      <c r="AC477" s="5">
        <f t="shared" si="53"/>
        <v>21</v>
      </c>
      <c r="AD477" s="5">
        <f t="shared" si="54"/>
        <v>1</v>
      </c>
      <c r="AE477" s="5" t="str">
        <f t="shared" si="55"/>
        <v>Shortage</v>
      </c>
    </row>
    <row r="478" spans="1:31" x14ac:dyDescent="0.25">
      <c r="A478" t="s">
        <v>1185</v>
      </c>
      <c r="B478" s="2">
        <v>46263</v>
      </c>
      <c r="C478" t="s">
        <v>1186</v>
      </c>
      <c r="D478" t="s">
        <v>573</v>
      </c>
      <c r="E478" t="s">
        <v>574</v>
      </c>
      <c r="F478" t="s">
        <v>42</v>
      </c>
      <c r="G478" t="s">
        <v>79</v>
      </c>
      <c r="H478" t="s">
        <v>44</v>
      </c>
      <c r="I478">
        <v>9</v>
      </c>
      <c r="J478">
        <v>17</v>
      </c>
      <c r="K478">
        <v>6</v>
      </c>
      <c r="L478">
        <v>11</v>
      </c>
      <c r="M478">
        <v>2</v>
      </c>
      <c r="N478">
        <v>15</v>
      </c>
      <c r="O478">
        <v>0</v>
      </c>
      <c r="P478">
        <v>8</v>
      </c>
      <c r="Q478">
        <v>8.8699999999999992</v>
      </c>
      <c r="R478">
        <v>133.05000000000001</v>
      </c>
      <c r="S478">
        <v>14550</v>
      </c>
      <c r="T478">
        <v>14383</v>
      </c>
      <c r="U478">
        <v>518</v>
      </c>
      <c r="V478">
        <v>13865</v>
      </c>
      <c r="W478" s="3">
        <f t="shared" si="49"/>
        <v>104.20894400601277</v>
      </c>
      <c r="X478">
        <v>99.399922570654283</v>
      </c>
      <c r="Y478" s="3">
        <v>99.399922570654283</v>
      </c>
      <c r="Z478" s="4">
        <f t="shared" si="50"/>
        <v>1.0483805350244635</v>
      </c>
      <c r="AA478" s="5">
        <f t="shared" si="51"/>
        <v>146.37838364167479</v>
      </c>
      <c r="AB478" s="5">
        <f t="shared" si="52"/>
        <v>8.8666666666666671</v>
      </c>
      <c r="AC478" s="5">
        <f t="shared" si="53"/>
        <v>17</v>
      </c>
      <c r="AD478" s="5">
        <f t="shared" si="54"/>
        <v>2</v>
      </c>
      <c r="AE478" s="5" t="str">
        <f t="shared" si="55"/>
        <v>Shortage</v>
      </c>
    </row>
    <row r="479" spans="1:31" x14ac:dyDescent="0.25">
      <c r="A479" t="s">
        <v>1187</v>
      </c>
      <c r="B479" s="2">
        <v>46265</v>
      </c>
      <c r="C479" t="s">
        <v>1188</v>
      </c>
      <c r="D479" t="s">
        <v>142</v>
      </c>
      <c r="E479" t="s">
        <v>143</v>
      </c>
      <c r="F479" t="s">
        <v>55</v>
      </c>
      <c r="G479" t="s">
        <v>36</v>
      </c>
      <c r="H479" t="s">
        <v>74</v>
      </c>
      <c r="I479">
        <v>8</v>
      </c>
      <c r="J479">
        <v>18</v>
      </c>
      <c r="K479">
        <v>9</v>
      </c>
      <c r="L479">
        <v>9</v>
      </c>
      <c r="M479">
        <v>0</v>
      </c>
      <c r="N479">
        <v>18</v>
      </c>
      <c r="O479">
        <v>2</v>
      </c>
      <c r="P479">
        <v>56</v>
      </c>
      <c r="Q479">
        <v>7.07</v>
      </c>
      <c r="R479">
        <v>127.26</v>
      </c>
      <c r="S479">
        <v>14596</v>
      </c>
      <c r="T479">
        <v>14530</v>
      </c>
      <c r="U479">
        <v>307</v>
      </c>
      <c r="V479">
        <v>14223</v>
      </c>
      <c r="W479" s="3">
        <f t="shared" si="49"/>
        <v>111.76331918906176</v>
      </c>
      <c r="X479">
        <v>108.32817332835501</v>
      </c>
      <c r="Y479" s="3">
        <v>108.32817332835501</v>
      </c>
      <c r="Z479" s="4">
        <f t="shared" si="50"/>
        <v>1.0317105491135203</v>
      </c>
      <c r="AA479" s="5">
        <f t="shared" si="51"/>
        <v>134.7387254076358</v>
      </c>
      <c r="AB479" s="5">
        <f t="shared" si="52"/>
        <v>7.0666666666666664</v>
      </c>
      <c r="AC479" s="5">
        <f t="shared" si="53"/>
        <v>20</v>
      </c>
      <c r="AD479" s="5">
        <f t="shared" si="54"/>
        <v>2</v>
      </c>
      <c r="AE479" s="5" t="str">
        <f t="shared" si="55"/>
        <v>Shortage</v>
      </c>
    </row>
    <row r="480" spans="1:31" x14ac:dyDescent="0.25">
      <c r="A480" t="s">
        <v>1189</v>
      </c>
      <c r="B480" s="2">
        <v>46265</v>
      </c>
      <c r="C480" t="s">
        <v>1190</v>
      </c>
      <c r="D480" t="s">
        <v>228</v>
      </c>
      <c r="E480" t="s">
        <v>229</v>
      </c>
      <c r="F480" t="s">
        <v>68</v>
      </c>
      <c r="G480" t="s">
        <v>43</v>
      </c>
      <c r="H480" t="s">
        <v>37</v>
      </c>
      <c r="I480">
        <v>9</v>
      </c>
      <c r="J480">
        <v>28</v>
      </c>
      <c r="K480">
        <v>14</v>
      </c>
      <c r="L480">
        <v>14</v>
      </c>
      <c r="M480">
        <v>0</v>
      </c>
      <c r="N480">
        <v>28</v>
      </c>
      <c r="O480">
        <v>3</v>
      </c>
      <c r="P480">
        <v>47</v>
      </c>
      <c r="Q480">
        <v>8.2200000000000006</v>
      </c>
      <c r="R480">
        <v>230.16</v>
      </c>
      <c r="S480">
        <v>32811</v>
      </c>
      <c r="T480">
        <v>30355</v>
      </c>
      <c r="U480">
        <v>1054</v>
      </c>
      <c r="V480">
        <v>29301</v>
      </c>
      <c r="W480" s="3">
        <f t="shared" si="49"/>
        <v>127.30709071949948</v>
      </c>
      <c r="X480">
        <v>128.22014138735929</v>
      </c>
      <c r="Y480" s="3">
        <v>128.22014138735929</v>
      </c>
      <c r="Z480" s="4">
        <f t="shared" si="50"/>
        <v>0.99287903867535576</v>
      </c>
      <c r="AA480" s="5">
        <f t="shared" si="51"/>
        <v>255.89583387586799</v>
      </c>
      <c r="AB480" s="5">
        <f t="shared" si="52"/>
        <v>8.2166666666666668</v>
      </c>
      <c r="AC480" s="5">
        <f t="shared" si="53"/>
        <v>32</v>
      </c>
      <c r="AD480" s="5">
        <f t="shared" si="54"/>
        <v>4</v>
      </c>
      <c r="AE480" s="5" t="str">
        <f t="shared" si="55"/>
        <v>Shortage</v>
      </c>
    </row>
    <row r="481" spans="1:31" x14ac:dyDescent="0.25">
      <c r="A481" t="s">
        <v>1191</v>
      </c>
      <c r="B481" s="2">
        <v>46265</v>
      </c>
      <c r="C481" t="s">
        <v>1192</v>
      </c>
      <c r="D481" t="s">
        <v>160</v>
      </c>
      <c r="E481" t="s">
        <v>161</v>
      </c>
      <c r="F481" t="s">
        <v>55</v>
      </c>
      <c r="G481" t="s">
        <v>79</v>
      </c>
      <c r="H481" t="s">
        <v>50</v>
      </c>
      <c r="I481">
        <v>8</v>
      </c>
      <c r="J481">
        <v>12</v>
      </c>
      <c r="K481">
        <v>4</v>
      </c>
      <c r="L481">
        <v>8</v>
      </c>
      <c r="M481">
        <v>2</v>
      </c>
      <c r="N481">
        <v>10</v>
      </c>
      <c r="O481">
        <v>0</v>
      </c>
      <c r="P481">
        <v>51</v>
      </c>
      <c r="Q481">
        <v>7.15</v>
      </c>
      <c r="R481">
        <v>71.5</v>
      </c>
      <c r="S481">
        <v>8062</v>
      </c>
      <c r="T481">
        <v>7337</v>
      </c>
      <c r="U481">
        <v>199</v>
      </c>
      <c r="V481">
        <v>7138</v>
      </c>
      <c r="W481" s="3">
        <f t="shared" si="49"/>
        <v>99.832167832167826</v>
      </c>
      <c r="X481">
        <v>99.520305551967823</v>
      </c>
      <c r="Y481" s="3">
        <v>99.520305551967823</v>
      </c>
      <c r="Z481" s="4">
        <f t="shared" si="50"/>
        <v>1.0031336547699521</v>
      </c>
      <c r="AA481" s="5">
        <f t="shared" si="51"/>
        <v>81.008593726535125</v>
      </c>
      <c r="AB481" s="5">
        <f t="shared" si="52"/>
        <v>7.15</v>
      </c>
      <c r="AC481" s="5">
        <f t="shared" si="53"/>
        <v>12</v>
      </c>
      <c r="AD481" s="5">
        <f t="shared" si="54"/>
        <v>2</v>
      </c>
      <c r="AE481" s="5" t="str">
        <f t="shared" si="55"/>
        <v>Shortage</v>
      </c>
    </row>
    <row r="482" spans="1:31" x14ac:dyDescent="0.25">
      <c r="A482" t="s">
        <v>1193</v>
      </c>
      <c r="B482" s="2">
        <v>46266</v>
      </c>
      <c r="C482" t="s">
        <v>1194</v>
      </c>
      <c r="D482" t="s">
        <v>72</v>
      </c>
      <c r="E482" t="s">
        <v>73</v>
      </c>
      <c r="F482" t="s">
        <v>42</v>
      </c>
      <c r="G482" t="s">
        <v>43</v>
      </c>
      <c r="H482" t="s">
        <v>37</v>
      </c>
      <c r="I482">
        <v>8</v>
      </c>
      <c r="J482">
        <v>17</v>
      </c>
      <c r="K482">
        <v>6</v>
      </c>
      <c r="L482">
        <v>11</v>
      </c>
      <c r="M482">
        <v>0</v>
      </c>
      <c r="N482">
        <v>17</v>
      </c>
      <c r="O482">
        <v>0</v>
      </c>
      <c r="P482">
        <v>33</v>
      </c>
      <c r="Q482">
        <v>7.45</v>
      </c>
      <c r="R482">
        <v>126.65</v>
      </c>
      <c r="S482">
        <v>15889</v>
      </c>
      <c r="T482">
        <v>12953</v>
      </c>
      <c r="U482">
        <v>390</v>
      </c>
      <c r="V482">
        <v>12563</v>
      </c>
      <c r="W482" s="3">
        <f t="shared" si="49"/>
        <v>99.194630872483216</v>
      </c>
      <c r="X482">
        <v>115.1855592022217</v>
      </c>
      <c r="Y482" s="3">
        <v>115.1855592022217</v>
      </c>
      <c r="Z482" s="4">
        <f t="shared" si="50"/>
        <v>0.86117245564034173</v>
      </c>
      <c r="AA482" s="5">
        <f t="shared" si="51"/>
        <v>137.94263890410954</v>
      </c>
      <c r="AB482" s="5">
        <f t="shared" si="52"/>
        <v>7.45</v>
      </c>
      <c r="AC482" s="5">
        <f t="shared" si="53"/>
        <v>19</v>
      </c>
      <c r="AD482" s="5">
        <f t="shared" si="54"/>
        <v>2</v>
      </c>
      <c r="AE482" s="5" t="str">
        <f t="shared" si="55"/>
        <v>Shortage</v>
      </c>
    </row>
    <row r="483" spans="1:31" x14ac:dyDescent="0.25">
      <c r="A483" t="s">
        <v>1195</v>
      </c>
      <c r="B483" s="2">
        <v>46268</v>
      </c>
      <c r="C483" t="s">
        <v>1196</v>
      </c>
      <c r="D483" t="s">
        <v>466</v>
      </c>
      <c r="E483" t="s">
        <v>467</v>
      </c>
      <c r="F483" t="s">
        <v>42</v>
      </c>
      <c r="G483" t="s">
        <v>36</v>
      </c>
      <c r="H483" t="s">
        <v>44</v>
      </c>
      <c r="I483">
        <v>10</v>
      </c>
      <c r="J483">
        <v>21</v>
      </c>
      <c r="K483">
        <v>7</v>
      </c>
      <c r="L483">
        <v>14</v>
      </c>
      <c r="M483">
        <v>0</v>
      </c>
      <c r="N483">
        <v>21</v>
      </c>
      <c r="O483">
        <v>2</v>
      </c>
      <c r="P483">
        <v>35</v>
      </c>
      <c r="Q483">
        <v>9.42</v>
      </c>
      <c r="R483">
        <v>197.82</v>
      </c>
      <c r="S483">
        <v>24611</v>
      </c>
      <c r="T483">
        <v>24006</v>
      </c>
      <c r="U483">
        <v>890</v>
      </c>
      <c r="V483">
        <v>23116</v>
      </c>
      <c r="W483" s="3">
        <f t="shared" si="49"/>
        <v>116.85370538873724</v>
      </c>
      <c r="X483">
        <v>112.98347693798689</v>
      </c>
      <c r="Y483" s="3">
        <v>112.98347693798689</v>
      </c>
      <c r="Z483" s="4">
        <f t="shared" si="50"/>
        <v>1.0342548180994164</v>
      </c>
      <c r="AA483" s="5">
        <f t="shared" si="51"/>
        <v>217.82831142210475</v>
      </c>
      <c r="AB483" s="5">
        <f t="shared" si="52"/>
        <v>9.4166666666666661</v>
      </c>
      <c r="AC483" s="5">
        <f t="shared" si="53"/>
        <v>24</v>
      </c>
      <c r="AD483" s="5">
        <f t="shared" si="54"/>
        <v>3</v>
      </c>
      <c r="AE483" s="5" t="str">
        <f t="shared" si="55"/>
        <v>Shortage</v>
      </c>
    </row>
    <row r="484" spans="1:31" x14ac:dyDescent="0.25">
      <c r="A484" t="s">
        <v>1197</v>
      </c>
      <c r="B484" s="2">
        <v>46268</v>
      </c>
      <c r="C484" t="s">
        <v>1198</v>
      </c>
      <c r="D484" t="s">
        <v>208</v>
      </c>
      <c r="E484" t="s">
        <v>209</v>
      </c>
      <c r="F484" t="s">
        <v>42</v>
      </c>
      <c r="G484" t="s">
        <v>36</v>
      </c>
      <c r="H484" t="s">
        <v>37</v>
      </c>
      <c r="I484">
        <v>8</v>
      </c>
      <c r="J484">
        <v>16</v>
      </c>
      <c r="K484">
        <v>6</v>
      </c>
      <c r="L484">
        <v>10</v>
      </c>
      <c r="M484">
        <v>2</v>
      </c>
      <c r="N484">
        <v>14</v>
      </c>
      <c r="O484">
        <v>0</v>
      </c>
      <c r="P484">
        <v>23</v>
      </c>
      <c r="Q484">
        <v>7.62</v>
      </c>
      <c r="R484">
        <v>106.68</v>
      </c>
      <c r="S484">
        <v>13830</v>
      </c>
      <c r="T484">
        <v>12270</v>
      </c>
      <c r="U484">
        <v>199</v>
      </c>
      <c r="V484">
        <v>12071</v>
      </c>
      <c r="W484" s="3">
        <f t="shared" si="49"/>
        <v>113.15148106486689</v>
      </c>
      <c r="X484">
        <v>112.98347693798689</v>
      </c>
      <c r="Y484" s="3">
        <v>112.98347693798689</v>
      </c>
      <c r="Z484" s="4">
        <f t="shared" si="50"/>
        <v>1.0014869796135961</v>
      </c>
      <c r="AA484" s="5">
        <f t="shared" si="51"/>
        <v>122.40727914216036</v>
      </c>
      <c r="AB484" s="5">
        <f t="shared" si="52"/>
        <v>7.6166666666666663</v>
      </c>
      <c r="AC484" s="5">
        <f t="shared" si="53"/>
        <v>17</v>
      </c>
      <c r="AD484" s="5">
        <f t="shared" si="54"/>
        <v>3</v>
      </c>
      <c r="AE484" s="5" t="str">
        <f t="shared" si="55"/>
        <v>Shortage</v>
      </c>
    </row>
    <row r="485" spans="1:31" x14ac:dyDescent="0.25">
      <c r="A485" t="s">
        <v>1199</v>
      </c>
      <c r="B485" s="2">
        <v>46268</v>
      </c>
      <c r="C485" t="s">
        <v>1200</v>
      </c>
      <c r="D485" t="s">
        <v>111</v>
      </c>
      <c r="E485" t="s">
        <v>112</v>
      </c>
      <c r="F485" t="s">
        <v>35</v>
      </c>
      <c r="G485" t="s">
        <v>43</v>
      </c>
      <c r="H485" t="s">
        <v>44</v>
      </c>
      <c r="I485">
        <v>9</v>
      </c>
      <c r="J485">
        <v>23</v>
      </c>
      <c r="K485">
        <v>8</v>
      </c>
      <c r="L485">
        <v>15</v>
      </c>
      <c r="M485">
        <v>0</v>
      </c>
      <c r="N485">
        <v>23</v>
      </c>
      <c r="O485">
        <v>3</v>
      </c>
      <c r="P485">
        <v>50</v>
      </c>
      <c r="Q485">
        <v>8.17</v>
      </c>
      <c r="R485">
        <v>187.91</v>
      </c>
      <c r="S485">
        <v>24005</v>
      </c>
      <c r="T485">
        <v>20223</v>
      </c>
      <c r="U485">
        <v>790</v>
      </c>
      <c r="V485">
        <v>19433</v>
      </c>
      <c r="W485" s="3">
        <f t="shared" si="49"/>
        <v>103.41652918950561</v>
      </c>
      <c r="X485">
        <v>118.01656521145939</v>
      </c>
      <c r="Y485" s="3">
        <v>118.01656521145939</v>
      </c>
      <c r="Z485" s="4">
        <f t="shared" si="50"/>
        <v>0.87628824821503848</v>
      </c>
      <c r="AA485" s="5">
        <f t="shared" si="51"/>
        <v>203.40364894528483</v>
      </c>
      <c r="AB485" s="5">
        <f t="shared" si="52"/>
        <v>8.1666666666666661</v>
      </c>
      <c r="AC485" s="5">
        <f t="shared" si="53"/>
        <v>25</v>
      </c>
      <c r="AD485" s="5">
        <f t="shared" si="54"/>
        <v>2</v>
      </c>
      <c r="AE485" s="5" t="str">
        <f t="shared" si="55"/>
        <v>Shortage</v>
      </c>
    </row>
    <row r="486" spans="1:31" x14ac:dyDescent="0.25">
      <c r="A486" t="s">
        <v>1201</v>
      </c>
      <c r="B486" s="2">
        <v>46269</v>
      </c>
      <c r="C486" t="s">
        <v>1202</v>
      </c>
      <c r="D486" t="s">
        <v>737</v>
      </c>
      <c r="E486" t="s">
        <v>738</v>
      </c>
      <c r="F486" t="s">
        <v>42</v>
      </c>
      <c r="G486" t="s">
        <v>43</v>
      </c>
      <c r="H486" t="s">
        <v>37</v>
      </c>
      <c r="I486">
        <v>8</v>
      </c>
      <c r="J486">
        <v>23</v>
      </c>
      <c r="K486">
        <v>8</v>
      </c>
      <c r="L486">
        <v>15</v>
      </c>
      <c r="M486">
        <v>0</v>
      </c>
      <c r="N486">
        <v>23</v>
      </c>
      <c r="O486">
        <v>0</v>
      </c>
      <c r="P486">
        <v>13</v>
      </c>
      <c r="Q486">
        <v>7.78</v>
      </c>
      <c r="R486">
        <v>178.94</v>
      </c>
      <c r="S486">
        <v>23395</v>
      </c>
      <c r="T486">
        <v>20313</v>
      </c>
      <c r="U486">
        <v>669</v>
      </c>
      <c r="V486">
        <v>19644</v>
      </c>
      <c r="W486" s="3">
        <f t="shared" si="49"/>
        <v>109.77981446294848</v>
      </c>
      <c r="X486">
        <v>115.1855592022217</v>
      </c>
      <c r="Y486" s="3">
        <v>115.1855592022217</v>
      </c>
      <c r="Z486" s="4">
        <f t="shared" si="50"/>
        <v>0.95306924950737271</v>
      </c>
      <c r="AA486" s="5">
        <f t="shared" si="51"/>
        <v>203.10705753424651</v>
      </c>
      <c r="AB486" s="5">
        <f t="shared" si="52"/>
        <v>7.7833333333333332</v>
      </c>
      <c r="AC486" s="5">
        <f t="shared" si="53"/>
        <v>27</v>
      </c>
      <c r="AD486" s="5">
        <f t="shared" si="54"/>
        <v>4</v>
      </c>
      <c r="AE486" s="5" t="str">
        <f t="shared" si="55"/>
        <v>Shortage</v>
      </c>
    </row>
    <row r="487" spans="1:31" x14ac:dyDescent="0.25">
      <c r="A487" t="s">
        <v>1203</v>
      </c>
      <c r="B487" s="2">
        <v>46269</v>
      </c>
      <c r="C487" t="s">
        <v>1204</v>
      </c>
      <c r="D487" t="s">
        <v>193</v>
      </c>
      <c r="E487" t="s">
        <v>135</v>
      </c>
      <c r="F487" t="s">
        <v>42</v>
      </c>
      <c r="G487" t="s">
        <v>43</v>
      </c>
      <c r="H487" t="s">
        <v>69</v>
      </c>
      <c r="I487">
        <v>8</v>
      </c>
      <c r="J487">
        <v>19</v>
      </c>
      <c r="K487">
        <v>6</v>
      </c>
      <c r="L487">
        <v>13</v>
      </c>
      <c r="M487">
        <v>0</v>
      </c>
      <c r="N487">
        <v>19</v>
      </c>
      <c r="O487">
        <v>0</v>
      </c>
      <c r="P487">
        <v>53</v>
      </c>
      <c r="Q487">
        <v>7.12</v>
      </c>
      <c r="R487">
        <v>135.28</v>
      </c>
      <c r="S487">
        <v>19812</v>
      </c>
      <c r="T487">
        <v>15528</v>
      </c>
      <c r="U487">
        <v>466</v>
      </c>
      <c r="V487">
        <v>15062</v>
      </c>
      <c r="W487" s="3">
        <f t="shared" si="49"/>
        <v>111.33944411590775</v>
      </c>
      <c r="X487">
        <v>115.1855592022217</v>
      </c>
      <c r="Y487" s="3">
        <v>115.1855592022217</v>
      </c>
      <c r="Z487" s="4">
        <f t="shared" si="50"/>
        <v>0.9666093986698312</v>
      </c>
      <c r="AA487" s="5">
        <f t="shared" si="51"/>
        <v>172.00072767123282</v>
      </c>
      <c r="AB487" s="5">
        <f t="shared" si="52"/>
        <v>7.1166666666666671</v>
      </c>
      <c r="AC487" s="5">
        <f t="shared" si="53"/>
        <v>25</v>
      </c>
      <c r="AD487" s="5">
        <f t="shared" si="54"/>
        <v>6</v>
      </c>
      <c r="AE487" s="5" t="str">
        <f t="shared" si="55"/>
        <v>Shortage</v>
      </c>
    </row>
    <row r="488" spans="1:31" x14ac:dyDescent="0.25">
      <c r="A488" t="s">
        <v>1205</v>
      </c>
      <c r="B488" s="2">
        <v>46269</v>
      </c>
      <c r="C488" t="s">
        <v>1206</v>
      </c>
      <c r="D488" t="s">
        <v>47</v>
      </c>
      <c r="E488" t="s">
        <v>48</v>
      </c>
      <c r="F488" t="s">
        <v>49</v>
      </c>
      <c r="G488" t="s">
        <v>43</v>
      </c>
      <c r="H488" t="s">
        <v>69</v>
      </c>
      <c r="I488">
        <v>8</v>
      </c>
      <c r="J488">
        <v>25</v>
      </c>
      <c r="K488">
        <v>11</v>
      </c>
      <c r="L488">
        <v>14</v>
      </c>
      <c r="M488">
        <v>0</v>
      </c>
      <c r="N488">
        <v>25</v>
      </c>
      <c r="O488">
        <v>1</v>
      </c>
      <c r="P488">
        <v>25</v>
      </c>
      <c r="Q488">
        <v>7.58</v>
      </c>
      <c r="R488">
        <v>189.5</v>
      </c>
      <c r="S488">
        <v>21456</v>
      </c>
      <c r="T488">
        <v>19478</v>
      </c>
      <c r="U488">
        <v>339</v>
      </c>
      <c r="V488">
        <v>19139</v>
      </c>
      <c r="W488" s="3">
        <f t="shared" si="49"/>
        <v>100.99736147757255</v>
      </c>
      <c r="X488">
        <v>124.78240035826239</v>
      </c>
      <c r="Y488" s="3">
        <v>124.78240035826239</v>
      </c>
      <c r="Z488" s="4">
        <f t="shared" si="50"/>
        <v>0.80938787190821238</v>
      </c>
      <c r="AA488" s="5">
        <f t="shared" si="51"/>
        <v>171.94732541125782</v>
      </c>
      <c r="AB488" s="5">
        <f t="shared" si="52"/>
        <v>7.583333333333333</v>
      </c>
      <c r="AC488" s="5">
        <f t="shared" si="53"/>
        <v>23</v>
      </c>
      <c r="AD488" s="5">
        <f t="shared" si="54"/>
        <v>-2</v>
      </c>
      <c r="AE488" s="5" t="str">
        <f t="shared" si="55"/>
        <v>Surplus</v>
      </c>
    </row>
    <row r="489" spans="1:31" x14ac:dyDescent="0.25">
      <c r="A489" t="s">
        <v>1207</v>
      </c>
      <c r="B489" s="2">
        <v>46270</v>
      </c>
      <c r="C489" t="s">
        <v>1208</v>
      </c>
      <c r="D489" t="s">
        <v>170</v>
      </c>
      <c r="E489" t="s">
        <v>171</v>
      </c>
      <c r="F489" t="s">
        <v>68</v>
      </c>
      <c r="G489" t="s">
        <v>36</v>
      </c>
      <c r="H489" t="s">
        <v>88</v>
      </c>
      <c r="I489">
        <v>10</v>
      </c>
      <c r="J489">
        <v>27</v>
      </c>
      <c r="K489">
        <v>12</v>
      </c>
      <c r="L489">
        <v>15</v>
      </c>
      <c r="M489">
        <v>1</v>
      </c>
      <c r="N489">
        <v>26</v>
      </c>
      <c r="O489">
        <v>0</v>
      </c>
      <c r="P489">
        <v>41</v>
      </c>
      <c r="Q489">
        <v>9.32</v>
      </c>
      <c r="R489">
        <v>242.32</v>
      </c>
      <c r="S489">
        <v>34726</v>
      </c>
      <c r="T489">
        <v>28080</v>
      </c>
      <c r="U489">
        <v>831</v>
      </c>
      <c r="V489">
        <v>27249</v>
      </c>
      <c r="W489" s="3">
        <f t="shared" si="49"/>
        <v>112.45047870584352</v>
      </c>
      <c r="X489">
        <v>120.8174989437542</v>
      </c>
      <c r="Y489" s="3">
        <v>120.8174989437542</v>
      </c>
      <c r="Z489" s="4">
        <f t="shared" si="50"/>
        <v>0.9307466193965338</v>
      </c>
      <c r="AA489" s="5">
        <f t="shared" si="51"/>
        <v>287.42525133852064</v>
      </c>
      <c r="AB489" s="5">
        <f t="shared" si="52"/>
        <v>9.3166666666666664</v>
      </c>
      <c r="AC489" s="5">
        <f t="shared" si="53"/>
        <v>31</v>
      </c>
      <c r="AD489" s="5">
        <f t="shared" si="54"/>
        <v>5</v>
      </c>
      <c r="AE489" s="5" t="str">
        <f t="shared" si="55"/>
        <v>Shortage</v>
      </c>
    </row>
    <row r="490" spans="1:31" x14ac:dyDescent="0.25">
      <c r="A490" t="s">
        <v>1209</v>
      </c>
      <c r="B490" s="2">
        <v>46270</v>
      </c>
      <c r="C490" t="s">
        <v>1210</v>
      </c>
      <c r="D490" t="s">
        <v>72</v>
      </c>
      <c r="E490" t="s">
        <v>73</v>
      </c>
      <c r="F490" t="s">
        <v>55</v>
      </c>
      <c r="G490" t="s">
        <v>43</v>
      </c>
      <c r="H490" t="s">
        <v>74</v>
      </c>
      <c r="I490">
        <v>10</v>
      </c>
      <c r="J490">
        <v>19</v>
      </c>
      <c r="K490">
        <v>6</v>
      </c>
      <c r="L490">
        <v>13</v>
      </c>
      <c r="M490">
        <v>0</v>
      </c>
      <c r="N490">
        <v>19</v>
      </c>
      <c r="O490">
        <v>0</v>
      </c>
      <c r="P490">
        <v>8</v>
      </c>
      <c r="Q490">
        <v>9.8699999999999992</v>
      </c>
      <c r="R490">
        <v>187.53</v>
      </c>
      <c r="S490">
        <v>19942</v>
      </c>
      <c r="T490">
        <v>21194</v>
      </c>
      <c r="U490">
        <v>865</v>
      </c>
      <c r="V490">
        <v>20329</v>
      </c>
      <c r="W490" s="3">
        <f t="shared" si="49"/>
        <v>108.4039886951421</v>
      </c>
      <c r="X490">
        <v>109.38855294136761</v>
      </c>
      <c r="Y490" s="3">
        <v>109.38855294136761</v>
      </c>
      <c r="Z490" s="4">
        <f t="shared" si="50"/>
        <v>0.99099938503845797</v>
      </c>
      <c r="AA490" s="5">
        <f t="shared" si="51"/>
        <v>182.30426734586146</v>
      </c>
      <c r="AB490" s="5">
        <f t="shared" si="52"/>
        <v>9.8666666666666671</v>
      </c>
      <c r="AC490" s="5">
        <f t="shared" si="53"/>
        <v>19</v>
      </c>
      <c r="AD490" s="5">
        <f t="shared" si="54"/>
        <v>0</v>
      </c>
      <c r="AE490" s="5" t="str">
        <f t="shared" si="55"/>
        <v>Balanced</v>
      </c>
    </row>
    <row r="491" spans="1:31" x14ac:dyDescent="0.25">
      <c r="A491" t="s">
        <v>1211</v>
      </c>
      <c r="B491" s="2">
        <v>46270</v>
      </c>
      <c r="C491" t="s">
        <v>1212</v>
      </c>
      <c r="D491" t="s">
        <v>53</v>
      </c>
      <c r="E491" t="s">
        <v>54</v>
      </c>
      <c r="F491" t="s">
        <v>55</v>
      </c>
      <c r="G491" t="s">
        <v>79</v>
      </c>
      <c r="H491" t="s">
        <v>37</v>
      </c>
      <c r="I491">
        <v>9</v>
      </c>
      <c r="J491">
        <v>16</v>
      </c>
      <c r="K491">
        <v>7</v>
      </c>
      <c r="L491">
        <v>9</v>
      </c>
      <c r="M491">
        <v>0</v>
      </c>
      <c r="N491">
        <v>16</v>
      </c>
      <c r="O491">
        <v>0</v>
      </c>
      <c r="P491">
        <v>45</v>
      </c>
      <c r="Q491">
        <v>8.25</v>
      </c>
      <c r="R491">
        <v>132</v>
      </c>
      <c r="S491">
        <v>14641</v>
      </c>
      <c r="T491">
        <v>12929</v>
      </c>
      <c r="U491">
        <v>270</v>
      </c>
      <c r="V491">
        <v>12659</v>
      </c>
      <c r="W491" s="3">
        <f t="shared" si="49"/>
        <v>95.901515151515156</v>
      </c>
      <c r="X491">
        <v>99.520305551967823</v>
      </c>
      <c r="Y491" s="3">
        <v>99.520305551967823</v>
      </c>
      <c r="Z491" s="4">
        <f t="shared" si="50"/>
        <v>0.96363766790724936</v>
      </c>
      <c r="AA491" s="5">
        <f t="shared" si="51"/>
        <v>147.11570587325735</v>
      </c>
      <c r="AB491" s="5">
        <f t="shared" si="52"/>
        <v>8.25</v>
      </c>
      <c r="AC491" s="5">
        <f t="shared" si="53"/>
        <v>18</v>
      </c>
      <c r="AD491" s="5">
        <f t="shared" si="54"/>
        <v>2</v>
      </c>
      <c r="AE491" s="5" t="str">
        <f t="shared" si="55"/>
        <v>Shortage</v>
      </c>
    </row>
    <row r="492" spans="1:31" x14ac:dyDescent="0.25">
      <c r="A492" t="s">
        <v>1213</v>
      </c>
      <c r="B492" s="2">
        <v>46271</v>
      </c>
      <c r="C492" t="s">
        <v>1214</v>
      </c>
      <c r="D492" t="s">
        <v>767</v>
      </c>
      <c r="E492" t="s">
        <v>768</v>
      </c>
      <c r="F492" t="s">
        <v>42</v>
      </c>
      <c r="G492" t="s">
        <v>79</v>
      </c>
      <c r="H492" t="s">
        <v>44</v>
      </c>
      <c r="I492">
        <v>8</v>
      </c>
      <c r="J492">
        <v>15</v>
      </c>
      <c r="K492">
        <v>6</v>
      </c>
      <c r="L492">
        <v>9</v>
      </c>
      <c r="M492">
        <v>2</v>
      </c>
      <c r="N492">
        <v>13</v>
      </c>
      <c r="O492">
        <v>1</v>
      </c>
      <c r="P492">
        <v>28</v>
      </c>
      <c r="Q492">
        <v>7.53</v>
      </c>
      <c r="R492">
        <v>97.89</v>
      </c>
      <c r="S492">
        <v>12572</v>
      </c>
      <c r="T492">
        <v>11319</v>
      </c>
      <c r="U492">
        <v>413</v>
      </c>
      <c r="V492">
        <v>10906</v>
      </c>
      <c r="W492" s="3">
        <f t="shared" si="49"/>
        <v>111.41076718765962</v>
      </c>
      <c r="X492">
        <v>99.399922570654283</v>
      </c>
      <c r="Y492" s="3">
        <v>99.399922570654283</v>
      </c>
      <c r="Z492" s="4">
        <f t="shared" si="50"/>
        <v>1.1208335409765326</v>
      </c>
      <c r="AA492" s="5">
        <f t="shared" si="51"/>
        <v>126.47897176241479</v>
      </c>
      <c r="AB492" s="5">
        <f t="shared" si="52"/>
        <v>7.5333333333333332</v>
      </c>
      <c r="AC492" s="5">
        <f t="shared" si="53"/>
        <v>17</v>
      </c>
      <c r="AD492" s="5">
        <f t="shared" si="54"/>
        <v>4</v>
      </c>
      <c r="AE492" s="5" t="str">
        <f t="shared" si="55"/>
        <v>Shortage</v>
      </c>
    </row>
    <row r="493" spans="1:31" x14ac:dyDescent="0.25">
      <c r="A493" t="s">
        <v>1215</v>
      </c>
      <c r="B493" s="2">
        <v>46273</v>
      </c>
      <c r="C493" t="s">
        <v>1216</v>
      </c>
      <c r="D493" t="s">
        <v>999</v>
      </c>
      <c r="E493" t="s">
        <v>1000</v>
      </c>
      <c r="F493" t="s">
        <v>49</v>
      </c>
      <c r="G493" t="s">
        <v>79</v>
      </c>
      <c r="H493" t="s">
        <v>44</v>
      </c>
      <c r="I493">
        <v>8</v>
      </c>
      <c r="J493">
        <v>20</v>
      </c>
      <c r="K493">
        <v>9</v>
      </c>
      <c r="L493">
        <v>11</v>
      </c>
      <c r="M493">
        <v>1</v>
      </c>
      <c r="N493">
        <v>19</v>
      </c>
      <c r="O493">
        <v>0</v>
      </c>
      <c r="P493">
        <v>18</v>
      </c>
      <c r="Q493">
        <v>7.7</v>
      </c>
      <c r="R493">
        <v>146.30000000000001</v>
      </c>
      <c r="S493">
        <v>17061</v>
      </c>
      <c r="T493">
        <v>15021</v>
      </c>
      <c r="U493">
        <v>321</v>
      </c>
      <c r="V493">
        <v>14700</v>
      </c>
      <c r="W493" s="3">
        <f t="shared" si="49"/>
        <v>100.47846889952152</v>
      </c>
      <c r="X493">
        <v>107.36289227751951</v>
      </c>
      <c r="Y493" s="3">
        <v>107.36289227751951</v>
      </c>
      <c r="Z493" s="4">
        <f t="shared" si="50"/>
        <v>0.93587706858527409</v>
      </c>
      <c r="AA493" s="5">
        <f t="shared" si="51"/>
        <v>158.90965340147014</v>
      </c>
      <c r="AB493" s="5">
        <f t="shared" si="52"/>
        <v>7.7</v>
      </c>
      <c r="AC493" s="5">
        <f t="shared" si="53"/>
        <v>21</v>
      </c>
      <c r="AD493" s="5">
        <f t="shared" si="54"/>
        <v>2</v>
      </c>
      <c r="AE493" s="5" t="str">
        <f t="shared" si="55"/>
        <v>Shortage</v>
      </c>
    </row>
    <row r="494" spans="1:31" x14ac:dyDescent="0.25">
      <c r="A494" t="s">
        <v>1217</v>
      </c>
      <c r="B494" s="2">
        <v>46275</v>
      </c>
      <c r="C494" t="s">
        <v>1218</v>
      </c>
      <c r="D494" t="s">
        <v>254</v>
      </c>
      <c r="E494" t="s">
        <v>157</v>
      </c>
      <c r="F494" t="s">
        <v>55</v>
      </c>
      <c r="G494" t="s">
        <v>43</v>
      </c>
      <c r="H494" t="s">
        <v>69</v>
      </c>
      <c r="I494">
        <v>8</v>
      </c>
      <c r="J494">
        <v>20</v>
      </c>
      <c r="K494">
        <v>10</v>
      </c>
      <c r="L494">
        <v>10</v>
      </c>
      <c r="M494">
        <v>0</v>
      </c>
      <c r="N494">
        <v>20</v>
      </c>
      <c r="O494">
        <v>3</v>
      </c>
      <c r="P494">
        <v>28</v>
      </c>
      <c r="Q494">
        <v>7.53</v>
      </c>
      <c r="R494">
        <v>150.6</v>
      </c>
      <c r="S494">
        <v>17992</v>
      </c>
      <c r="T494">
        <v>14859</v>
      </c>
      <c r="U494">
        <v>191</v>
      </c>
      <c r="V494">
        <v>14668</v>
      </c>
      <c r="W494" s="3">
        <f t="shared" si="49"/>
        <v>97.397078353253661</v>
      </c>
      <c r="X494">
        <v>109.38855294136761</v>
      </c>
      <c r="Y494" s="3">
        <v>109.38855294136761</v>
      </c>
      <c r="Z494" s="4">
        <f t="shared" si="50"/>
        <v>0.89037724455006373</v>
      </c>
      <c r="AA494" s="5">
        <f t="shared" si="51"/>
        <v>164.47790482833915</v>
      </c>
      <c r="AB494" s="5">
        <f t="shared" si="52"/>
        <v>7.5333333333333332</v>
      </c>
      <c r="AC494" s="5">
        <f t="shared" si="53"/>
        <v>22</v>
      </c>
      <c r="AD494" s="5">
        <f t="shared" si="54"/>
        <v>2</v>
      </c>
      <c r="AE494" s="5" t="str">
        <f t="shared" si="55"/>
        <v>Shortage</v>
      </c>
    </row>
    <row r="495" spans="1:31" x14ac:dyDescent="0.25">
      <c r="A495" t="s">
        <v>1219</v>
      </c>
      <c r="B495" s="2">
        <v>46276</v>
      </c>
      <c r="C495" t="s">
        <v>1220</v>
      </c>
      <c r="D495" t="s">
        <v>134</v>
      </c>
      <c r="E495" t="s">
        <v>135</v>
      </c>
      <c r="F495" t="s">
        <v>35</v>
      </c>
      <c r="G495" t="s">
        <v>36</v>
      </c>
      <c r="H495" t="s">
        <v>37</v>
      </c>
      <c r="I495">
        <v>10</v>
      </c>
      <c r="J495">
        <v>19</v>
      </c>
      <c r="K495">
        <v>6</v>
      </c>
      <c r="L495">
        <v>13</v>
      </c>
      <c r="M495">
        <v>1</v>
      </c>
      <c r="N495">
        <v>18</v>
      </c>
      <c r="O495">
        <v>0</v>
      </c>
      <c r="P495">
        <v>10</v>
      </c>
      <c r="Q495">
        <v>9.83</v>
      </c>
      <c r="R495">
        <v>176.94</v>
      </c>
      <c r="S495">
        <v>21732</v>
      </c>
      <c r="T495">
        <v>20141</v>
      </c>
      <c r="U495">
        <v>239</v>
      </c>
      <c r="V495">
        <v>19902</v>
      </c>
      <c r="W495" s="3">
        <f t="shared" si="49"/>
        <v>112.47880637504238</v>
      </c>
      <c r="X495">
        <v>114.1563708384419</v>
      </c>
      <c r="Y495" s="3">
        <v>114.1563708384419</v>
      </c>
      <c r="Z495" s="4">
        <f t="shared" si="50"/>
        <v>0.98530467944032951</v>
      </c>
      <c r="AA495" s="5">
        <f t="shared" si="51"/>
        <v>190.370452742895</v>
      </c>
      <c r="AB495" s="5">
        <f t="shared" si="52"/>
        <v>9.8333333333333339</v>
      </c>
      <c r="AC495" s="5">
        <f t="shared" si="53"/>
        <v>20</v>
      </c>
      <c r="AD495" s="5">
        <f t="shared" si="54"/>
        <v>2</v>
      </c>
      <c r="AE495" s="5" t="str">
        <f t="shared" si="55"/>
        <v>Shortage</v>
      </c>
    </row>
    <row r="496" spans="1:31" x14ac:dyDescent="0.25">
      <c r="A496" t="s">
        <v>1221</v>
      </c>
      <c r="B496" s="2">
        <v>46276</v>
      </c>
      <c r="C496" t="s">
        <v>1222</v>
      </c>
      <c r="D496" t="s">
        <v>193</v>
      </c>
      <c r="E496" t="s">
        <v>135</v>
      </c>
      <c r="F496" t="s">
        <v>68</v>
      </c>
      <c r="G496" t="s">
        <v>43</v>
      </c>
      <c r="H496" t="s">
        <v>88</v>
      </c>
      <c r="I496">
        <v>9</v>
      </c>
      <c r="J496">
        <v>30</v>
      </c>
      <c r="K496">
        <v>12</v>
      </c>
      <c r="L496">
        <v>18</v>
      </c>
      <c r="M496">
        <v>0</v>
      </c>
      <c r="N496">
        <v>30</v>
      </c>
      <c r="O496">
        <v>3</v>
      </c>
      <c r="P496">
        <v>29</v>
      </c>
      <c r="Q496">
        <v>8.52</v>
      </c>
      <c r="R496">
        <v>255.6</v>
      </c>
      <c r="S496">
        <v>33699</v>
      </c>
      <c r="T496">
        <v>29604</v>
      </c>
      <c r="U496">
        <v>690</v>
      </c>
      <c r="V496">
        <v>28914</v>
      </c>
      <c r="W496" s="3">
        <f t="shared" si="49"/>
        <v>113.12206572769954</v>
      </c>
      <c r="X496">
        <v>128.22014138735929</v>
      </c>
      <c r="Y496" s="3">
        <v>128.22014138735929</v>
      </c>
      <c r="Z496" s="4">
        <f t="shared" si="50"/>
        <v>0.88224879885253182</v>
      </c>
      <c r="AA496" s="5">
        <f t="shared" si="51"/>
        <v>262.82142286985692</v>
      </c>
      <c r="AB496" s="5">
        <f t="shared" si="52"/>
        <v>8.5166666666666675</v>
      </c>
      <c r="AC496" s="5">
        <f t="shared" si="53"/>
        <v>31</v>
      </c>
      <c r="AD496" s="5">
        <f t="shared" si="54"/>
        <v>1</v>
      </c>
      <c r="AE496" s="5" t="str">
        <f t="shared" si="55"/>
        <v>Shortage</v>
      </c>
    </row>
    <row r="497" spans="1:31" x14ac:dyDescent="0.25">
      <c r="A497" t="s">
        <v>1223</v>
      </c>
      <c r="B497" s="2">
        <v>46277</v>
      </c>
      <c r="C497" t="s">
        <v>1224</v>
      </c>
      <c r="D497" t="s">
        <v>186</v>
      </c>
      <c r="E497" t="s">
        <v>187</v>
      </c>
      <c r="F497" t="s">
        <v>42</v>
      </c>
      <c r="G497" t="s">
        <v>36</v>
      </c>
      <c r="H497" t="s">
        <v>44</v>
      </c>
      <c r="I497">
        <v>9</v>
      </c>
      <c r="J497">
        <v>19</v>
      </c>
      <c r="K497">
        <v>8</v>
      </c>
      <c r="L497">
        <v>11</v>
      </c>
      <c r="M497">
        <v>0</v>
      </c>
      <c r="N497">
        <v>19</v>
      </c>
      <c r="O497">
        <v>3</v>
      </c>
      <c r="P497">
        <v>35</v>
      </c>
      <c r="Q497">
        <v>8.42</v>
      </c>
      <c r="R497">
        <v>159.97999999999999</v>
      </c>
      <c r="S497">
        <v>15705</v>
      </c>
      <c r="T497">
        <v>13762</v>
      </c>
      <c r="U497">
        <v>69</v>
      </c>
      <c r="V497">
        <v>13693</v>
      </c>
      <c r="W497" s="3">
        <f t="shared" si="49"/>
        <v>85.591948993624214</v>
      </c>
      <c r="X497">
        <v>112.98347693798689</v>
      </c>
      <c r="Y497" s="3">
        <v>112.98347693798689</v>
      </c>
      <c r="Z497" s="4">
        <f t="shared" si="50"/>
        <v>0.75756164806826543</v>
      </c>
      <c r="AA497" s="5">
        <f t="shared" si="51"/>
        <v>139.0026260974424</v>
      </c>
      <c r="AB497" s="5">
        <f t="shared" si="52"/>
        <v>8.4166666666666661</v>
      </c>
      <c r="AC497" s="5">
        <f t="shared" si="53"/>
        <v>17</v>
      </c>
      <c r="AD497" s="5">
        <f t="shared" si="54"/>
        <v>-2</v>
      </c>
      <c r="AE497" s="5" t="str">
        <f t="shared" si="55"/>
        <v>Surplus</v>
      </c>
    </row>
    <row r="498" spans="1:31" x14ac:dyDescent="0.25">
      <c r="A498" t="s">
        <v>1225</v>
      </c>
      <c r="B498" s="2">
        <v>46277</v>
      </c>
      <c r="C498" t="s">
        <v>1226</v>
      </c>
      <c r="D498" t="s">
        <v>516</v>
      </c>
      <c r="E498" t="s">
        <v>517</v>
      </c>
      <c r="F498" t="s">
        <v>49</v>
      </c>
      <c r="G498" t="s">
        <v>36</v>
      </c>
      <c r="H498" t="s">
        <v>69</v>
      </c>
      <c r="I498">
        <v>10</v>
      </c>
      <c r="J498">
        <v>24</v>
      </c>
      <c r="K498">
        <v>11</v>
      </c>
      <c r="L498">
        <v>13</v>
      </c>
      <c r="M498">
        <v>1</v>
      </c>
      <c r="N498">
        <v>23</v>
      </c>
      <c r="O498">
        <v>1</v>
      </c>
      <c r="P498">
        <v>58</v>
      </c>
      <c r="Q498">
        <v>9.0299999999999994</v>
      </c>
      <c r="R498">
        <v>207.69</v>
      </c>
      <c r="S498">
        <v>27768</v>
      </c>
      <c r="T498">
        <v>26380</v>
      </c>
      <c r="U498">
        <v>132</v>
      </c>
      <c r="V498">
        <v>26248</v>
      </c>
      <c r="W498" s="3">
        <f t="shared" si="49"/>
        <v>126.38066348885359</v>
      </c>
      <c r="X498">
        <v>118.4084783141387</v>
      </c>
      <c r="Y498" s="3">
        <v>118.4084783141387</v>
      </c>
      <c r="Z498" s="4">
        <f t="shared" si="50"/>
        <v>1.0673278238874466</v>
      </c>
      <c r="AA498" s="5">
        <f t="shared" si="51"/>
        <v>234.5102343628744</v>
      </c>
      <c r="AB498" s="5">
        <f t="shared" si="52"/>
        <v>9.0333333333333332</v>
      </c>
      <c r="AC498" s="5">
        <f t="shared" si="53"/>
        <v>26</v>
      </c>
      <c r="AD498" s="5">
        <f t="shared" si="54"/>
        <v>3</v>
      </c>
      <c r="AE498" s="5" t="str">
        <f t="shared" si="55"/>
        <v>Shortage</v>
      </c>
    </row>
    <row r="499" spans="1:31" x14ac:dyDescent="0.25">
      <c r="A499" t="s">
        <v>1227</v>
      </c>
      <c r="B499" s="2">
        <v>46277</v>
      </c>
      <c r="C499" t="s">
        <v>1228</v>
      </c>
      <c r="D499" t="s">
        <v>40</v>
      </c>
      <c r="E499" t="s">
        <v>41</v>
      </c>
      <c r="F499" t="s">
        <v>49</v>
      </c>
      <c r="G499" t="s">
        <v>43</v>
      </c>
      <c r="H499" t="s">
        <v>69</v>
      </c>
      <c r="I499">
        <v>8</v>
      </c>
      <c r="J499">
        <v>25</v>
      </c>
      <c r="K499">
        <v>10</v>
      </c>
      <c r="L499">
        <v>15</v>
      </c>
      <c r="M499">
        <v>0</v>
      </c>
      <c r="N499">
        <v>25</v>
      </c>
      <c r="O499">
        <v>2</v>
      </c>
      <c r="P499">
        <v>51</v>
      </c>
      <c r="Q499">
        <v>7.15</v>
      </c>
      <c r="R499">
        <v>178.75</v>
      </c>
      <c r="S499">
        <v>25980</v>
      </c>
      <c r="T499">
        <v>20721</v>
      </c>
      <c r="U499">
        <v>104</v>
      </c>
      <c r="V499">
        <v>20617</v>
      </c>
      <c r="W499" s="3">
        <f t="shared" si="49"/>
        <v>115.33986013986014</v>
      </c>
      <c r="X499">
        <v>124.78240035826239</v>
      </c>
      <c r="Y499" s="3">
        <v>124.78240035826239</v>
      </c>
      <c r="Z499" s="4">
        <f t="shared" si="50"/>
        <v>0.92432794856252321</v>
      </c>
      <c r="AA499" s="5">
        <f t="shared" si="51"/>
        <v>208.20243820770315</v>
      </c>
      <c r="AB499" s="5">
        <f t="shared" si="52"/>
        <v>7.15</v>
      </c>
      <c r="AC499" s="5">
        <f t="shared" si="53"/>
        <v>30</v>
      </c>
      <c r="AD499" s="5">
        <f t="shared" si="54"/>
        <v>5</v>
      </c>
      <c r="AE499" s="5" t="str">
        <f t="shared" si="55"/>
        <v>Shortage</v>
      </c>
    </row>
    <row r="500" spans="1:31" x14ac:dyDescent="0.25">
      <c r="A500" t="s">
        <v>1229</v>
      </c>
      <c r="B500" s="2">
        <v>46278</v>
      </c>
      <c r="C500" t="s">
        <v>1230</v>
      </c>
      <c r="D500" t="s">
        <v>216</v>
      </c>
      <c r="E500" t="s">
        <v>217</v>
      </c>
      <c r="F500" t="s">
        <v>42</v>
      </c>
      <c r="G500" t="s">
        <v>43</v>
      </c>
      <c r="H500" t="s">
        <v>74</v>
      </c>
      <c r="I500">
        <v>8</v>
      </c>
      <c r="J500">
        <v>18</v>
      </c>
      <c r="K500">
        <v>9</v>
      </c>
      <c r="L500">
        <v>9</v>
      </c>
      <c r="M500">
        <v>0</v>
      </c>
      <c r="N500">
        <v>18</v>
      </c>
      <c r="O500">
        <v>1</v>
      </c>
      <c r="P500">
        <v>34</v>
      </c>
      <c r="Q500">
        <v>7.43</v>
      </c>
      <c r="R500">
        <v>133.74</v>
      </c>
      <c r="S500">
        <v>17119</v>
      </c>
      <c r="T500">
        <v>13728</v>
      </c>
      <c r="U500">
        <v>111</v>
      </c>
      <c r="V500">
        <v>13617</v>
      </c>
      <c r="W500" s="3">
        <f t="shared" si="49"/>
        <v>101.81695827725437</v>
      </c>
      <c r="X500">
        <v>115.1855592022217</v>
      </c>
      <c r="Y500" s="3">
        <v>115.1855592022217</v>
      </c>
      <c r="Z500" s="4">
        <f t="shared" si="50"/>
        <v>0.88393856818894123</v>
      </c>
      <c r="AA500" s="5">
        <f t="shared" si="51"/>
        <v>148.62106082191775</v>
      </c>
      <c r="AB500" s="5">
        <f t="shared" si="52"/>
        <v>7.4333333333333336</v>
      </c>
      <c r="AC500" s="5">
        <f t="shared" si="53"/>
        <v>20</v>
      </c>
      <c r="AD500" s="5">
        <f t="shared" si="54"/>
        <v>2</v>
      </c>
      <c r="AE500" s="5" t="str">
        <f t="shared" si="55"/>
        <v>Shortage</v>
      </c>
    </row>
    <row r="501" spans="1:31" x14ac:dyDescent="0.25">
      <c r="A501" t="s">
        <v>1231</v>
      </c>
      <c r="B501" s="2">
        <v>46279</v>
      </c>
      <c r="C501" t="s">
        <v>1232</v>
      </c>
      <c r="D501" t="s">
        <v>138</v>
      </c>
      <c r="E501" t="s">
        <v>139</v>
      </c>
      <c r="F501" t="s">
        <v>68</v>
      </c>
      <c r="G501" t="s">
        <v>36</v>
      </c>
      <c r="H501" t="s">
        <v>69</v>
      </c>
      <c r="I501">
        <v>8</v>
      </c>
      <c r="J501">
        <v>28</v>
      </c>
      <c r="K501">
        <v>12</v>
      </c>
      <c r="L501">
        <v>16</v>
      </c>
      <c r="M501">
        <v>0</v>
      </c>
      <c r="N501">
        <v>28</v>
      </c>
      <c r="O501">
        <v>0</v>
      </c>
      <c r="P501">
        <v>58</v>
      </c>
      <c r="Q501">
        <v>7.03</v>
      </c>
      <c r="R501">
        <v>196.84</v>
      </c>
      <c r="S501">
        <v>33796</v>
      </c>
      <c r="T501">
        <v>25305</v>
      </c>
      <c r="U501">
        <v>485</v>
      </c>
      <c r="V501">
        <v>24820</v>
      </c>
      <c r="W501" s="3">
        <f t="shared" si="49"/>
        <v>126.09225767120503</v>
      </c>
      <c r="X501">
        <v>120.8174989437542</v>
      </c>
      <c r="Y501" s="3">
        <v>120.8174989437542</v>
      </c>
      <c r="Z501" s="4">
        <f t="shared" si="50"/>
        <v>1.0436588968780629</v>
      </c>
      <c r="AA501" s="5">
        <f t="shared" si="51"/>
        <v>279.72769090124524</v>
      </c>
      <c r="AB501" s="5">
        <f t="shared" si="52"/>
        <v>7.0333333333333332</v>
      </c>
      <c r="AC501" s="5">
        <f t="shared" si="53"/>
        <v>40</v>
      </c>
      <c r="AD501" s="5">
        <f t="shared" si="54"/>
        <v>12</v>
      </c>
      <c r="AE501" s="5" t="str">
        <f t="shared" si="55"/>
        <v>Shortage</v>
      </c>
    </row>
  </sheetData>
  <conditionalFormatting sqref="AD2:AD501">
    <cfRule type="cellIs" dxfId="17" priority="1" operator="greaterThan">
      <formula>0</formula>
    </cfRule>
    <cfRule type="cellIs" dxfId="16" priority="2" operator="lessThan">
      <formula>0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7" sqref="B17"/>
    </sheetView>
  </sheetViews>
  <sheetFormatPr defaultColWidth="28" defaultRowHeight="15" x14ac:dyDescent="0.25"/>
  <cols>
    <col min="2" max="2" width="98.5703125" customWidth="1"/>
  </cols>
  <sheetData>
    <row r="1" spans="1:2" ht="21" x14ac:dyDescent="0.35">
      <c r="A1" s="28" t="s">
        <v>1269</v>
      </c>
      <c r="B1" s="28"/>
    </row>
    <row r="3" spans="1:2" x14ac:dyDescent="0.25">
      <c r="A3" s="1" t="s">
        <v>1270</v>
      </c>
      <c r="B3" s="7" t="s">
        <v>1271</v>
      </c>
    </row>
    <row r="4" spans="1:2" x14ac:dyDescent="0.25">
      <c r="A4" s="6" t="s">
        <v>1272</v>
      </c>
      <c r="B4" s="9" t="s">
        <v>1273</v>
      </c>
    </row>
    <row r="5" spans="1:2" x14ac:dyDescent="0.25">
      <c r="A5" t="s">
        <v>1274</v>
      </c>
      <c r="B5" s="8" t="s">
        <v>1275</v>
      </c>
    </row>
    <row r="6" spans="1:2" x14ac:dyDescent="0.25">
      <c r="A6" t="s">
        <v>1276</v>
      </c>
      <c r="B6" s="8" t="s">
        <v>1277</v>
      </c>
    </row>
    <row r="7" spans="1:2" x14ac:dyDescent="0.25">
      <c r="A7" t="s">
        <v>1278</v>
      </c>
      <c r="B7" s="8" t="s">
        <v>1279</v>
      </c>
    </row>
    <row r="8" spans="1:2" x14ac:dyDescent="0.25">
      <c r="A8" t="s">
        <v>1280</v>
      </c>
      <c r="B8" s="8" t="s">
        <v>1281</v>
      </c>
    </row>
    <row r="9" spans="1:2" x14ac:dyDescent="0.25">
      <c r="A9" t="s">
        <v>1282</v>
      </c>
      <c r="B9" s="8" t="s">
        <v>1283</v>
      </c>
    </row>
    <row r="10" spans="1:2" x14ac:dyDescent="0.25">
      <c r="A10" t="s">
        <v>1284</v>
      </c>
      <c r="B10" s="8" t="s">
        <v>1285</v>
      </c>
    </row>
    <row r="11" spans="1:2" x14ac:dyDescent="0.25">
      <c r="A11" t="s">
        <v>1286</v>
      </c>
      <c r="B11" s="8" t="s">
        <v>1287</v>
      </c>
    </row>
    <row r="12" spans="1:2" x14ac:dyDescent="0.25">
      <c r="A12" t="s">
        <v>1288</v>
      </c>
      <c r="B12" s="8" t="s">
        <v>1289</v>
      </c>
    </row>
    <row r="13" spans="1:2" x14ac:dyDescent="0.25">
      <c r="A13" t="s">
        <v>1290</v>
      </c>
      <c r="B13" s="8" t="s">
        <v>1291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2" sqref="D2"/>
    </sheetView>
  </sheetViews>
  <sheetFormatPr defaultRowHeight="15" x14ac:dyDescent="0.25"/>
  <cols>
    <col min="1" max="1" width="17.5703125" customWidth="1"/>
    <col min="2" max="2" width="10.140625" bestFit="1" customWidth="1"/>
    <col min="3" max="3" width="10.140625" customWidth="1"/>
    <col min="4" max="4" width="24.7109375" customWidth="1"/>
    <col min="5" max="5" width="25.140625" customWidth="1"/>
    <col min="6" max="6" width="16.7109375" bestFit="1" customWidth="1"/>
  </cols>
  <sheetData>
    <row r="1" spans="1:6" x14ac:dyDescent="0.25">
      <c r="A1" s="1" t="s">
        <v>5</v>
      </c>
      <c r="B1" s="1" t="s">
        <v>6</v>
      </c>
      <c r="C1" s="1" t="s">
        <v>1234</v>
      </c>
      <c r="D1" s="1" t="s">
        <v>24</v>
      </c>
      <c r="E1" s="1" t="s">
        <v>1244</v>
      </c>
      <c r="F1" s="1" t="s">
        <v>1245</v>
      </c>
    </row>
    <row r="2" spans="1:6" x14ac:dyDescent="0.25">
      <c r="A2" t="s">
        <v>42</v>
      </c>
      <c r="B2" t="s">
        <v>36</v>
      </c>
      <c r="C2">
        <v>38</v>
      </c>
      <c r="D2">
        <v>112.98347693798689</v>
      </c>
      <c r="E2">
        <v>32.184210526315788</v>
      </c>
      <c r="F2" t="s">
        <v>1246</v>
      </c>
    </row>
    <row r="3" spans="1:6" x14ac:dyDescent="0.25">
      <c r="A3" t="s">
        <v>42</v>
      </c>
      <c r="B3" t="s">
        <v>43</v>
      </c>
      <c r="C3">
        <v>53</v>
      </c>
      <c r="D3">
        <v>115.1855592022217</v>
      </c>
      <c r="E3">
        <v>34.283018867924532</v>
      </c>
      <c r="F3" t="s">
        <v>1247</v>
      </c>
    </row>
    <row r="4" spans="1:6" x14ac:dyDescent="0.25">
      <c r="A4" t="s">
        <v>42</v>
      </c>
      <c r="B4" t="s">
        <v>79</v>
      </c>
      <c r="C4">
        <v>17</v>
      </c>
      <c r="D4">
        <v>99.399922570654283</v>
      </c>
      <c r="E4">
        <v>33.470588235294123</v>
      </c>
      <c r="F4" t="s">
        <v>1248</v>
      </c>
    </row>
    <row r="5" spans="1:6" x14ac:dyDescent="0.25">
      <c r="A5" t="s">
        <v>49</v>
      </c>
      <c r="B5" t="s">
        <v>36</v>
      </c>
      <c r="C5">
        <v>37</v>
      </c>
      <c r="D5">
        <v>118.4084783141387</v>
      </c>
      <c r="E5">
        <v>35.594594594594597</v>
      </c>
      <c r="F5" t="s">
        <v>1249</v>
      </c>
    </row>
    <row r="6" spans="1:6" x14ac:dyDescent="0.25">
      <c r="A6" t="s">
        <v>49</v>
      </c>
      <c r="B6" t="s">
        <v>43</v>
      </c>
      <c r="C6">
        <v>44</v>
      </c>
      <c r="D6">
        <v>124.78240035826239</v>
      </c>
      <c r="E6">
        <v>31.79545454545455</v>
      </c>
      <c r="F6" t="s">
        <v>1250</v>
      </c>
    </row>
    <row r="7" spans="1:6" x14ac:dyDescent="0.25">
      <c r="A7" t="s">
        <v>49</v>
      </c>
      <c r="B7" t="s">
        <v>79</v>
      </c>
      <c r="C7">
        <v>16</v>
      </c>
      <c r="D7">
        <v>107.36289227751951</v>
      </c>
      <c r="E7">
        <v>38.6875</v>
      </c>
      <c r="F7" t="s">
        <v>1251</v>
      </c>
    </row>
    <row r="8" spans="1:6" x14ac:dyDescent="0.25">
      <c r="A8" t="s">
        <v>55</v>
      </c>
      <c r="B8" t="s">
        <v>36</v>
      </c>
      <c r="C8">
        <v>43</v>
      </c>
      <c r="D8">
        <v>108.32817332835501</v>
      </c>
      <c r="E8">
        <v>31.813953488372089</v>
      </c>
      <c r="F8" t="s">
        <v>1252</v>
      </c>
    </row>
    <row r="9" spans="1:6" x14ac:dyDescent="0.25">
      <c r="A9" t="s">
        <v>55</v>
      </c>
      <c r="B9" t="s">
        <v>43</v>
      </c>
      <c r="C9">
        <v>52</v>
      </c>
      <c r="D9">
        <v>109.38855294136761</v>
      </c>
      <c r="E9">
        <v>31.23076923076923</v>
      </c>
      <c r="F9" t="s">
        <v>1253</v>
      </c>
    </row>
    <row r="10" spans="1:6" x14ac:dyDescent="0.25">
      <c r="A10" t="s">
        <v>55</v>
      </c>
      <c r="B10" t="s">
        <v>79</v>
      </c>
      <c r="C10">
        <v>19</v>
      </c>
      <c r="D10">
        <v>99.520305551967823</v>
      </c>
      <c r="E10">
        <v>38.10526315789474</v>
      </c>
      <c r="F10" t="s">
        <v>1254</v>
      </c>
    </row>
    <row r="11" spans="1:6" x14ac:dyDescent="0.25">
      <c r="A11" t="s">
        <v>68</v>
      </c>
      <c r="B11" t="s">
        <v>36</v>
      </c>
      <c r="C11">
        <v>28</v>
      </c>
      <c r="D11">
        <v>120.8174989437542</v>
      </c>
      <c r="E11">
        <v>25.5</v>
      </c>
      <c r="F11" t="s">
        <v>1255</v>
      </c>
    </row>
    <row r="12" spans="1:6" x14ac:dyDescent="0.25">
      <c r="A12" t="s">
        <v>68</v>
      </c>
      <c r="B12" t="s">
        <v>43</v>
      </c>
      <c r="C12">
        <v>34</v>
      </c>
      <c r="D12">
        <v>128.22014138735929</v>
      </c>
      <c r="E12">
        <v>33.941176470588232</v>
      </c>
      <c r="F12" t="s">
        <v>1256</v>
      </c>
    </row>
    <row r="13" spans="1:6" x14ac:dyDescent="0.25">
      <c r="A13" t="s">
        <v>68</v>
      </c>
      <c r="B13" t="s">
        <v>79</v>
      </c>
      <c r="C13">
        <v>18</v>
      </c>
      <c r="D13">
        <v>114.6579540175248</v>
      </c>
      <c r="E13">
        <v>28.166666666666671</v>
      </c>
      <c r="F13" t="s">
        <v>1257</v>
      </c>
    </row>
    <row r="14" spans="1:6" x14ac:dyDescent="0.25">
      <c r="A14" t="s">
        <v>35</v>
      </c>
      <c r="B14" t="s">
        <v>36</v>
      </c>
      <c r="C14">
        <v>33</v>
      </c>
      <c r="D14">
        <v>114.1563708384419</v>
      </c>
      <c r="E14">
        <v>30.030303030303031</v>
      </c>
      <c r="F14" t="s">
        <v>1258</v>
      </c>
    </row>
    <row r="15" spans="1:6" x14ac:dyDescent="0.25">
      <c r="A15" t="s">
        <v>35</v>
      </c>
      <c r="B15" t="s">
        <v>43</v>
      </c>
      <c r="C15">
        <v>58</v>
      </c>
      <c r="D15">
        <v>118.01656521145939</v>
      </c>
      <c r="E15">
        <v>34.5</v>
      </c>
      <c r="F15" t="s">
        <v>1259</v>
      </c>
    </row>
    <row r="16" spans="1:6" x14ac:dyDescent="0.25">
      <c r="A16" t="s">
        <v>35</v>
      </c>
      <c r="B16" t="s">
        <v>79</v>
      </c>
      <c r="C16">
        <v>10</v>
      </c>
      <c r="D16">
        <v>100.6650131940286</v>
      </c>
      <c r="E16">
        <v>34.4</v>
      </c>
      <c r="F16" t="s">
        <v>1260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G21" sqref="G21"/>
    </sheetView>
  </sheetViews>
  <sheetFormatPr defaultRowHeight="15" x14ac:dyDescent="0.25"/>
  <cols>
    <col min="1" max="1" width="34" customWidth="1"/>
    <col min="2" max="3" width="14" customWidth="1"/>
    <col min="4" max="6" width="20" customWidth="1"/>
    <col min="7" max="7" width="22.85546875" customWidth="1"/>
    <col min="8" max="8" width="24.140625" customWidth="1"/>
    <col min="9" max="9" width="20" customWidth="1"/>
    <col min="10" max="10" width="15.42578125" customWidth="1"/>
    <col min="11" max="11" width="14.140625" customWidth="1"/>
  </cols>
  <sheetData>
    <row r="1" spans="1:11" ht="21" x14ac:dyDescent="0.35">
      <c r="A1" s="28" t="s">
        <v>1233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3" spans="1:11" x14ac:dyDescent="0.25">
      <c r="A3" s="1" t="s">
        <v>5</v>
      </c>
      <c r="B3" s="1" t="s">
        <v>6</v>
      </c>
      <c r="C3" s="1" t="s">
        <v>1234</v>
      </c>
      <c r="D3" s="1" t="s">
        <v>1235</v>
      </c>
      <c r="E3" s="1" t="s">
        <v>1236</v>
      </c>
      <c r="F3" s="1" t="s">
        <v>1237</v>
      </c>
      <c r="G3" s="1" t="s">
        <v>1238</v>
      </c>
      <c r="H3" s="1" t="s">
        <v>1239</v>
      </c>
      <c r="I3" s="1" t="s">
        <v>1240</v>
      </c>
      <c r="J3" s="1" t="s">
        <v>1241</v>
      </c>
      <c r="K3" s="1" t="s">
        <v>1242</v>
      </c>
    </row>
    <row r="4" spans="1:11" x14ac:dyDescent="0.25">
      <c r="A4" t="s">
        <v>42</v>
      </c>
      <c r="B4" t="s">
        <v>36</v>
      </c>
      <c r="C4">
        <f>COUNTIFS(Workforce_Data!$F:$F,$A4,Workforce_Data!$G:$G,$B4)</f>
        <v>38</v>
      </c>
      <c r="D4">
        <f>IFERROR(AVERAGEIFS(Workforce_Data!$W$2:$W$501,Workforce_Data!$F$2:$F$501,A4,Workforce_Data!$G$2:$G$501,B4),0)</f>
        <v>104.490161028283</v>
      </c>
      <c r="E4">
        <v>112.98347693798689</v>
      </c>
      <c r="F4" s="4">
        <f>IFERROR(AVERAGEIFS(Workforce_Data!$Z$2:$Z$501,Workforce_Data!$F$2:$F$501,A4,Workforce_Data!$G$2:$G$501,B4),0)</f>
        <v>0.92482692036141179</v>
      </c>
      <c r="G4">
        <f>IFERROR(AVERAGEIFS(Workforce_Data!$N$2:$N$501,Workforce_Data!$F$2:$F$501,A4,Workforce_Data!$G$2:$G$501,B4),0)</f>
        <v>17.5</v>
      </c>
      <c r="H4">
        <f>IFERROR(AVERAGEIFS(Workforce_Data!$AC$2:$AC$501,Workforce_Data!$F$2:$F$501,A4,Workforce_Data!$G$2:$G$501,B4),0)</f>
        <v>19.631578947368421</v>
      </c>
      <c r="I4">
        <f>IFERROR(AVERAGEIFS(Workforce_Data!$AD$2:$AD$501,Workforce_Data!$F$2:$F$501,A4,Workforce_Data!$G$2:$G$501,B4),0)</f>
        <v>2.1315789473684212</v>
      </c>
      <c r="J4">
        <f>COUNTIFS(Workforce_Data!$F$2:$F$501,A4,Workforce_Data!$G$2:$G$501,B4,Workforce_Data!$AD$2:$AD$501,"&gt;0")</f>
        <v>31</v>
      </c>
      <c r="K4">
        <f>COUNTIFS(Workforce_Data!$F$2:$F$501,A4,Workforce_Data!$G$2:$G$501,B4,Workforce_Data!$AD$2:$AD$501,"&lt;0")</f>
        <v>6</v>
      </c>
    </row>
    <row r="5" spans="1:11" x14ac:dyDescent="0.25">
      <c r="A5" t="s">
        <v>42</v>
      </c>
      <c r="B5" t="s">
        <v>43</v>
      </c>
      <c r="C5" s="5">
        <f>COUNTIFS(Workforce_Data!$F:$F,$A5,Workforce_Data!$G:$G,$B5)</f>
        <v>53</v>
      </c>
      <c r="D5" s="5">
        <f>IFERROR(AVERAGEIFS(Workforce_Data!$W$2:$W$501,Workforce_Data!$F$2:$F$501,A5,Workforce_Data!$G$2:$G$501,B5),0)</f>
        <v>107.06133383479062</v>
      </c>
      <c r="E5">
        <v>115.1855592022217</v>
      </c>
      <c r="F5" s="4">
        <f>IFERROR(AVERAGEIFS(Workforce_Data!$Z$2:$Z$501,Workforce_Data!$F$2:$F$501,A5,Workforce_Data!$G$2:$G$501,B5),0)</f>
        <v>0.92946836891968332</v>
      </c>
      <c r="G5" s="5">
        <f>IFERROR(AVERAGEIFS(Workforce_Data!$N$2:$N$501,Workforce_Data!$F$2:$F$501,A5,Workforce_Data!$G$2:$G$501,B5),0)</f>
        <v>19.622641509433961</v>
      </c>
      <c r="H5" s="5">
        <f>IFERROR(AVERAGEIFS(Workforce_Data!$AC$2:$AC$501,Workforce_Data!$F$2:$F$501,A5,Workforce_Data!$G$2:$G$501,B5),0)</f>
        <v>22.547169811320753</v>
      </c>
      <c r="I5" s="5">
        <f>IFERROR(AVERAGEIFS(Workforce_Data!$AD$2:$AD$501,Workforce_Data!$F$2:$F$501,A5,Workforce_Data!$G$2:$G$501,B5),0)</f>
        <v>2.9245283018867925</v>
      </c>
      <c r="J5" s="5">
        <f>COUNTIFS(Workforce_Data!$F$2:$F$501,A5,Workforce_Data!$G$2:$G$501,B5,Workforce_Data!$AD$2:$AD$501,"&gt;0")</f>
        <v>47</v>
      </c>
      <c r="K5" s="5">
        <f>COUNTIFS(Workforce_Data!$F$2:$F$501,A5,Workforce_Data!$G$2:$G$501,B5,Workforce_Data!$AD$2:$AD$501,"&lt;0")</f>
        <v>5</v>
      </c>
    </row>
    <row r="6" spans="1:11" x14ac:dyDescent="0.25">
      <c r="A6" t="s">
        <v>42</v>
      </c>
      <c r="B6" t="s">
        <v>79</v>
      </c>
      <c r="C6" s="5">
        <f>COUNTIFS(Workforce_Data!$F:$F,$A6,Workforce_Data!$G:$G,$B6)</f>
        <v>17</v>
      </c>
      <c r="D6" s="5">
        <f>IFERROR(AVERAGEIFS(Workforce_Data!$W$2:$W$501,Workforce_Data!$F$2:$F$501,A6,Workforce_Data!$G$2:$G$501,B6),0)</f>
        <v>94.588591759832454</v>
      </c>
      <c r="E6">
        <v>99.399922570654283</v>
      </c>
      <c r="F6" s="4">
        <f>IFERROR(AVERAGEIFS(Workforce_Data!$Z$2:$Z$501,Workforce_Data!$F$2:$F$501,A6,Workforce_Data!$G$2:$G$501,B6),0)</f>
        <v>0.95159623180388409</v>
      </c>
      <c r="G6" s="5">
        <f>IFERROR(AVERAGEIFS(Workforce_Data!$N$2:$N$501,Workforce_Data!$F$2:$F$501,A6,Workforce_Data!$G$2:$G$501,B6),0)</f>
        <v>14.647058823529411</v>
      </c>
      <c r="H6" s="5">
        <f>IFERROR(AVERAGEIFS(Workforce_Data!$AC$2:$AC$501,Workforce_Data!$F$2:$F$501,A6,Workforce_Data!$G$2:$G$501,B6),0)</f>
        <v>17.529411764705884</v>
      </c>
      <c r="I6" s="5">
        <f>IFERROR(AVERAGEIFS(Workforce_Data!$AD$2:$AD$501,Workforce_Data!$F$2:$F$501,A6,Workforce_Data!$G$2:$G$501,B6),0)</f>
        <v>2.8823529411764706</v>
      </c>
      <c r="J6" s="5">
        <f>COUNTIFS(Workforce_Data!$F$2:$F$501,A6,Workforce_Data!$G$2:$G$501,B6,Workforce_Data!$AD$2:$AD$501,"&gt;0")</f>
        <v>16</v>
      </c>
      <c r="K6" s="5">
        <f>COUNTIFS(Workforce_Data!$F$2:$F$501,A6,Workforce_Data!$G$2:$G$501,B6,Workforce_Data!$AD$2:$AD$501,"&lt;0")</f>
        <v>1</v>
      </c>
    </row>
    <row r="7" spans="1:11" x14ac:dyDescent="0.25">
      <c r="A7" t="s">
        <v>49</v>
      </c>
      <c r="B7" t="s">
        <v>36</v>
      </c>
      <c r="C7" s="5">
        <f>COUNTIFS(Workforce_Data!$F:$F,$A7,Workforce_Data!$G:$G,$B7)</f>
        <v>37</v>
      </c>
      <c r="D7" s="5">
        <f>IFERROR(AVERAGEIFS(Workforce_Data!$W$2:$W$501,Workforce_Data!$F$2:$F$501,A7,Workforce_Data!$G$2:$G$501,B7),0)</f>
        <v>109.25779258482292</v>
      </c>
      <c r="E7">
        <v>118.4084783141387</v>
      </c>
      <c r="F7" s="4">
        <f>IFERROR(AVERAGEIFS(Workforce_Data!$Z$2:$Z$501,Workforce_Data!$F$2:$F$501,A7,Workforce_Data!$G$2:$G$501,B7),0)</f>
        <v>0.92271933682790086</v>
      </c>
      <c r="G7" s="5">
        <f>IFERROR(AVERAGEIFS(Workforce_Data!$N$2:$N$501,Workforce_Data!$F$2:$F$501,A7,Workforce_Data!$G$2:$G$501,B7),0)</f>
        <v>20.810810810810811</v>
      </c>
      <c r="H7" s="5">
        <f>IFERROR(AVERAGEIFS(Workforce_Data!$AC$2:$AC$501,Workforce_Data!$F$2:$F$501,A7,Workforce_Data!$G$2:$G$501,B7),0)</f>
        <v>23.486486486486488</v>
      </c>
      <c r="I7" s="5">
        <f>IFERROR(AVERAGEIFS(Workforce_Data!$AD$2:$AD$501,Workforce_Data!$F$2:$F$501,A7,Workforce_Data!$G$2:$G$501,B7),0)</f>
        <v>2.6756756756756759</v>
      </c>
      <c r="J7" s="5">
        <f>COUNTIFS(Workforce_Data!$F$2:$F$501,A7,Workforce_Data!$G$2:$G$501,B7,Workforce_Data!$AD$2:$AD$501,"&gt;0")</f>
        <v>31</v>
      </c>
      <c r="K7" s="5">
        <f>COUNTIFS(Workforce_Data!$F$2:$F$501,A7,Workforce_Data!$G$2:$G$501,B7,Workforce_Data!$AD$2:$AD$501,"&lt;0")</f>
        <v>6</v>
      </c>
    </row>
    <row r="8" spans="1:11" x14ac:dyDescent="0.25">
      <c r="A8" t="s">
        <v>49</v>
      </c>
      <c r="B8" t="s">
        <v>43</v>
      </c>
      <c r="C8" s="5">
        <f>COUNTIFS(Workforce_Data!$F:$F,$A8,Workforce_Data!$G:$G,$B8)</f>
        <v>44</v>
      </c>
      <c r="D8" s="5">
        <f>IFERROR(AVERAGEIFS(Workforce_Data!$W$2:$W$501,Workforce_Data!$F$2:$F$501,A8,Workforce_Data!$G$2:$G$501,B8),0)</f>
        <v>115.93859623124523</v>
      </c>
      <c r="E8">
        <v>124.78240035826239</v>
      </c>
      <c r="F8" s="4">
        <f>IFERROR(AVERAGEIFS(Workforce_Data!$Z$2:$Z$501,Workforce_Data!$F$2:$F$501,A8,Workforce_Data!$G$2:$G$501,B8),0)</f>
        <v>0.92912619005864849</v>
      </c>
      <c r="G8" s="5">
        <f>IFERROR(AVERAGEIFS(Workforce_Data!$N$2:$N$501,Workforce_Data!$F$2:$F$501,A8,Workforce_Data!$G$2:$G$501,B8),0)</f>
        <v>23.454545454545453</v>
      </c>
      <c r="H8" s="5">
        <f>IFERROR(AVERAGEIFS(Workforce_Data!$AC$2:$AC$501,Workforce_Data!$F$2:$F$501,A8,Workforce_Data!$G$2:$G$501,B8),0)</f>
        <v>26.113636363636363</v>
      </c>
      <c r="I8" s="5">
        <f>IFERROR(AVERAGEIFS(Workforce_Data!$AD$2:$AD$501,Workforce_Data!$F$2:$F$501,A8,Workforce_Data!$G$2:$G$501,B8),0)</f>
        <v>2.6590909090909092</v>
      </c>
      <c r="J8" s="5">
        <f>COUNTIFS(Workforce_Data!$F$2:$F$501,A8,Workforce_Data!$G$2:$G$501,B8,Workforce_Data!$AD$2:$AD$501,"&gt;0")</f>
        <v>37</v>
      </c>
      <c r="K8" s="5">
        <f>COUNTIFS(Workforce_Data!$F$2:$F$501,A8,Workforce_Data!$G$2:$G$501,B8,Workforce_Data!$AD$2:$AD$501,"&lt;0")</f>
        <v>6</v>
      </c>
    </row>
    <row r="9" spans="1:11" x14ac:dyDescent="0.25">
      <c r="A9" t="s">
        <v>49</v>
      </c>
      <c r="B9" t="s">
        <v>79</v>
      </c>
      <c r="C9" s="5">
        <f>COUNTIFS(Workforce_Data!$F:$F,$A9,Workforce_Data!$G:$G,$B9)</f>
        <v>16</v>
      </c>
      <c r="D9" s="5">
        <f>IFERROR(AVERAGEIFS(Workforce_Data!$W$2:$W$501,Workforce_Data!$F$2:$F$501,A9,Workforce_Data!$G$2:$G$501,B9),0)</f>
        <v>97.66395645867388</v>
      </c>
      <c r="E9">
        <v>107.36289227751951</v>
      </c>
      <c r="F9" s="4">
        <f>IFERROR(AVERAGEIFS(Workforce_Data!$Z$2:$Z$501,Workforce_Data!$F$2:$F$501,A9,Workforce_Data!$G$2:$G$501,B9),0)</f>
        <v>0.9096621224233129</v>
      </c>
      <c r="G9" s="5">
        <f>IFERROR(AVERAGEIFS(Workforce_Data!$N$2:$N$501,Workforce_Data!$F$2:$F$501,A9,Workforce_Data!$G$2:$G$501,B9),0)</f>
        <v>19.3125</v>
      </c>
      <c r="H9" s="5">
        <f>IFERROR(AVERAGEIFS(Workforce_Data!$AC$2:$AC$501,Workforce_Data!$F$2:$F$501,A9,Workforce_Data!$G$2:$G$501,B9),0)</f>
        <v>20.9375</v>
      </c>
      <c r="I9" s="5">
        <f>IFERROR(AVERAGEIFS(Workforce_Data!$AD$2:$AD$501,Workforce_Data!$F$2:$F$501,A9,Workforce_Data!$G$2:$G$501,B9),0)</f>
        <v>1.625</v>
      </c>
      <c r="J9" s="5">
        <f>COUNTIFS(Workforce_Data!$F$2:$F$501,A9,Workforce_Data!$G$2:$G$501,B9,Workforce_Data!$AD$2:$AD$501,"&gt;0")</f>
        <v>9</v>
      </c>
      <c r="K9" s="5">
        <f>COUNTIFS(Workforce_Data!$F$2:$F$501,A9,Workforce_Data!$G$2:$G$501,B9,Workforce_Data!$AD$2:$AD$501,"&lt;0")</f>
        <v>6</v>
      </c>
    </row>
    <row r="10" spans="1:11" x14ac:dyDescent="0.25">
      <c r="A10" t="s">
        <v>55</v>
      </c>
      <c r="B10" t="s">
        <v>36</v>
      </c>
      <c r="C10" s="5">
        <f>COUNTIFS(Workforce_Data!$F:$F,$A10,Workforce_Data!$G:$G,$B10)</f>
        <v>43</v>
      </c>
      <c r="D10" s="5">
        <f>IFERROR(AVERAGEIFS(Workforce_Data!$W$2:$W$501,Workforce_Data!$F$2:$F$501,A10,Workforce_Data!$G$2:$G$501,B10),0)</f>
        <v>98.124781399079126</v>
      </c>
      <c r="E10">
        <v>108.32817332835501</v>
      </c>
      <c r="F10" s="4">
        <f>IFERROR(AVERAGEIFS(Workforce_Data!$Z$2:$Z$501,Workforce_Data!$F$2:$F$501,A10,Workforce_Data!$G$2:$G$501,B10),0)</f>
        <v>0.9058103574003018</v>
      </c>
      <c r="G10" s="5">
        <f>IFERROR(AVERAGEIFS(Workforce_Data!$N$2:$N$501,Workforce_Data!$F$2:$F$501,A10,Workforce_Data!$G$2:$G$501,B10),0)</f>
        <v>15.813953488372093</v>
      </c>
      <c r="H10" s="5">
        <f>IFERROR(AVERAGEIFS(Workforce_Data!$AC$2:$AC$501,Workforce_Data!$F$2:$F$501,A10,Workforce_Data!$G$2:$G$501,B10),0)</f>
        <v>17.395348837209301</v>
      </c>
      <c r="I10" s="5">
        <f>IFERROR(AVERAGEIFS(Workforce_Data!$AD$2:$AD$501,Workforce_Data!$F$2:$F$501,A10,Workforce_Data!$G$2:$G$501,B10),0)</f>
        <v>1.5813953488372092</v>
      </c>
      <c r="J10" s="5">
        <f>COUNTIFS(Workforce_Data!$F$2:$F$501,A10,Workforce_Data!$G$2:$G$501,B10,Workforce_Data!$AD$2:$AD$501,"&gt;0")</f>
        <v>32</v>
      </c>
      <c r="K10" s="5">
        <f>COUNTIFS(Workforce_Data!$F$2:$F$501,A10,Workforce_Data!$G$2:$G$501,B10,Workforce_Data!$AD$2:$AD$501,"&lt;0")</f>
        <v>6</v>
      </c>
    </row>
    <row r="11" spans="1:11" x14ac:dyDescent="0.25">
      <c r="A11" t="s">
        <v>55</v>
      </c>
      <c r="B11" t="s">
        <v>43</v>
      </c>
      <c r="C11" s="5">
        <f>COUNTIFS(Workforce_Data!$F:$F,$A11,Workforce_Data!$G:$G,$B11)</f>
        <v>52</v>
      </c>
      <c r="D11" s="5">
        <f>IFERROR(AVERAGEIFS(Workforce_Data!$W$2:$W$501,Workforce_Data!$F$2:$F$501,A11,Workforce_Data!$G$2:$G$501,B11),0)</f>
        <v>100.66192483894504</v>
      </c>
      <c r="E11">
        <v>109.38855294136761</v>
      </c>
      <c r="F11" s="4">
        <f>IFERROR(AVERAGEIFS(Workforce_Data!$Z$2:$Z$501,Workforce_Data!$F$2:$F$501,A11,Workforce_Data!$G$2:$G$501,B11),0)</f>
        <v>0.92022357122595744</v>
      </c>
      <c r="G11" s="5">
        <f>IFERROR(AVERAGEIFS(Workforce_Data!$N$2:$N$501,Workforce_Data!$F$2:$F$501,A11,Workforce_Data!$G$2:$G$501,B11),0)</f>
        <v>17.365384615384617</v>
      </c>
      <c r="H11" s="5">
        <f>IFERROR(AVERAGEIFS(Workforce_Data!$AC$2:$AC$501,Workforce_Data!$F$2:$F$501,A11,Workforce_Data!$G$2:$G$501,B11),0)</f>
        <v>19.03846153846154</v>
      </c>
      <c r="I11" s="5">
        <f>IFERROR(AVERAGEIFS(Workforce_Data!$AD$2:$AD$501,Workforce_Data!$F$2:$F$501,A11,Workforce_Data!$G$2:$G$501,B11),0)</f>
        <v>1.6730769230769231</v>
      </c>
      <c r="J11" s="5">
        <f>COUNTIFS(Workforce_Data!$F$2:$F$501,A11,Workforce_Data!$G$2:$G$501,B11,Workforce_Data!$AD$2:$AD$501,"&gt;0")</f>
        <v>41</v>
      </c>
      <c r="K11" s="5">
        <f>COUNTIFS(Workforce_Data!$F$2:$F$501,A11,Workforce_Data!$G$2:$G$501,B11,Workforce_Data!$AD$2:$AD$501,"&lt;0")</f>
        <v>7</v>
      </c>
    </row>
    <row r="12" spans="1:11" x14ac:dyDescent="0.25">
      <c r="A12" t="s">
        <v>55</v>
      </c>
      <c r="B12" t="s">
        <v>79</v>
      </c>
      <c r="C12" s="5">
        <f>COUNTIFS(Workforce_Data!$F:$F,$A12,Workforce_Data!$G:$G,$B12)</f>
        <v>19</v>
      </c>
      <c r="D12" s="5">
        <f>IFERROR(AVERAGEIFS(Workforce_Data!$W$2:$W$501,Workforce_Data!$F$2:$F$501,A12,Workforce_Data!$G$2:$G$501,B12),0)</f>
        <v>90.219841427516315</v>
      </c>
      <c r="E12">
        <v>99.520305551967823</v>
      </c>
      <c r="F12" s="4">
        <f>IFERROR(AVERAGEIFS(Workforce_Data!$Z$2:$Z$501,Workforce_Data!$F$2:$F$501,A12,Workforce_Data!$G$2:$G$501,B12),0)</f>
        <v>0.90654707023990222</v>
      </c>
      <c r="G12" s="5">
        <f>IFERROR(AVERAGEIFS(Workforce_Data!$N$2:$N$501,Workforce_Data!$F$2:$F$501,A12,Workforce_Data!$G$2:$G$501,B12),0)</f>
        <v>12.789473684210526</v>
      </c>
      <c r="H12" s="5">
        <f>IFERROR(AVERAGEIFS(Workforce_Data!$AC$2:$AC$501,Workforce_Data!$F$2:$F$501,A12,Workforce_Data!$G$2:$G$501,B12),0)</f>
        <v>14.157894736842104</v>
      </c>
      <c r="I12" s="5">
        <f>IFERROR(AVERAGEIFS(Workforce_Data!$AD$2:$AD$501,Workforce_Data!$F$2:$F$501,A12,Workforce_Data!$G$2:$G$501,B12),0)</f>
        <v>1.368421052631579</v>
      </c>
      <c r="J12" s="5">
        <f>COUNTIFS(Workforce_Data!$F$2:$F$501,A12,Workforce_Data!$G$2:$G$501,B12,Workforce_Data!$AD$2:$AD$501,"&gt;0")</f>
        <v>16</v>
      </c>
      <c r="K12" s="5">
        <f>COUNTIFS(Workforce_Data!$F$2:$F$501,A12,Workforce_Data!$G$2:$G$501,B12,Workforce_Data!$AD$2:$AD$501,"&lt;0")</f>
        <v>2</v>
      </c>
    </row>
    <row r="13" spans="1:11" x14ac:dyDescent="0.25">
      <c r="A13" t="s">
        <v>68</v>
      </c>
      <c r="B13" t="s">
        <v>36</v>
      </c>
      <c r="C13" s="5">
        <f>COUNTIFS(Workforce_Data!$F:$F,$A13,Workforce_Data!$G:$G,$B13)</f>
        <v>28</v>
      </c>
      <c r="D13" s="5">
        <f>IFERROR(AVERAGEIFS(Workforce_Data!$W$2:$W$501,Workforce_Data!$F$2:$F$501,A13,Workforce_Data!$G$2:$G$501,B13),0)</f>
        <v>111.57825725231892</v>
      </c>
      <c r="E13">
        <v>120.8174989437542</v>
      </c>
      <c r="F13" s="4">
        <f>IFERROR(AVERAGEIFS(Workforce_Data!$Z$2:$Z$501,Workforce_Data!$F$2:$F$501,A13,Workforce_Data!$G$2:$G$501,B13),0)</f>
        <v>0.92352728890922875</v>
      </c>
      <c r="G13" s="5">
        <f>IFERROR(AVERAGEIFS(Workforce_Data!$N$2:$N$501,Workforce_Data!$F$2:$F$501,A13,Workforce_Data!$G$2:$G$501,B13),0)</f>
        <v>24.678571428571427</v>
      </c>
      <c r="H13" s="5">
        <f>IFERROR(AVERAGEIFS(Workforce_Data!$AC$2:$AC$501,Workforce_Data!$F$2:$F$501,A13,Workforce_Data!$G$2:$G$501,B13),0)</f>
        <v>28.357142857142858</v>
      </c>
      <c r="I13" s="5">
        <f>IFERROR(AVERAGEIFS(Workforce_Data!$AD$2:$AD$501,Workforce_Data!$F$2:$F$501,A13,Workforce_Data!$G$2:$G$501,B13),0)</f>
        <v>3.6785714285714284</v>
      </c>
      <c r="J13" s="5">
        <f>COUNTIFS(Workforce_Data!$F$2:$F$501,A13,Workforce_Data!$G$2:$G$501,B13,Workforce_Data!$AD$2:$AD$501,"&gt;0")</f>
        <v>23</v>
      </c>
      <c r="K13" s="5">
        <f>COUNTIFS(Workforce_Data!$F$2:$F$501,A13,Workforce_Data!$G$2:$G$501,B13,Workforce_Data!$AD$2:$AD$501,"&lt;0")</f>
        <v>5</v>
      </c>
    </row>
    <row r="14" spans="1:11" x14ac:dyDescent="0.25">
      <c r="A14" t="s">
        <v>68</v>
      </c>
      <c r="B14" t="s">
        <v>43</v>
      </c>
      <c r="C14" s="5">
        <f>COUNTIFS(Workforce_Data!$F:$F,$A14,Workforce_Data!$G:$G,$B14)</f>
        <v>34</v>
      </c>
      <c r="D14" s="5">
        <f>IFERROR(AVERAGEIFS(Workforce_Data!$W$2:$W$501,Workforce_Data!$F$2:$F$501,A14,Workforce_Data!$G$2:$G$501,B14),0)</f>
        <v>119.4070182298218</v>
      </c>
      <c r="E14">
        <v>128.22014138735929</v>
      </c>
      <c r="F14" s="4">
        <f>IFERROR(AVERAGEIFS(Workforce_Data!$Z$2:$Z$501,Workforce_Data!$F$2:$F$501,A14,Workforce_Data!$G$2:$G$501,B14),0)</f>
        <v>0.93126568835302848</v>
      </c>
      <c r="G14" s="5">
        <f>IFERROR(AVERAGEIFS(Workforce_Data!$N$2:$N$501,Workforce_Data!$F$2:$F$501,A14,Workforce_Data!$G$2:$G$501,B14),0)</f>
        <v>26.529411764705884</v>
      </c>
      <c r="H14" s="5">
        <f>IFERROR(AVERAGEIFS(Workforce_Data!$AC$2:$AC$501,Workforce_Data!$F$2:$F$501,A14,Workforce_Data!$G$2:$G$501,B14),0)</f>
        <v>30.235294117647058</v>
      </c>
      <c r="I14" s="5">
        <f>IFERROR(AVERAGEIFS(Workforce_Data!$AD$2:$AD$501,Workforce_Data!$F$2:$F$501,A14,Workforce_Data!$G$2:$G$501,B14),0)</f>
        <v>3.7058823529411766</v>
      </c>
      <c r="J14" s="5">
        <f>COUNTIFS(Workforce_Data!$F$2:$F$501,A14,Workforce_Data!$G$2:$G$501,B14,Workforce_Data!$AD$2:$AD$501,"&gt;0")</f>
        <v>30</v>
      </c>
      <c r="K14" s="5">
        <f>COUNTIFS(Workforce_Data!$F$2:$F$501,A14,Workforce_Data!$G$2:$G$501,B14,Workforce_Data!$AD$2:$AD$501,"&lt;0")</f>
        <v>2</v>
      </c>
    </row>
    <row r="15" spans="1:11" x14ac:dyDescent="0.25">
      <c r="A15" t="s">
        <v>68</v>
      </c>
      <c r="B15" t="s">
        <v>79</v>
      </c>
      <c r="C15" s="5">
        <f>COUNTIFS(Workforce_Data!$F:$F,$A15,Workforce_Data!$G:$G,$B15)</f>
        <v>18</v>
      </c>
      <c r="D15" s="5">
        <f>IFERROR(AVERAGEIFS(Workforce_Data!$W$2:$W$501,Workforce_Data!$F$2:$F$501,A15,Workforce_Data!$G$2:$G$501,B15),0)</f>
        <v>109.44237120973708</v>
      </c>
      <c r="E15">
        <v>114.6579540175248</v>
      </c>
      <c r="F15" s="4">
        <f>IFERROR(AVERAGEIFS(Workforce_Data!$Z$2:$Z$501,Workforce_Data!$F$2:$F$501,A15,Workforce_Data!$G$2:$G$501,B15),0)</f>
        <v>0.95451180990905748</v>
      </c>
      <c r="G15" s="5">
        <f>IFERROR(AVERAGEIFS(Workforce_Data!$N$2:$N$501,Workforce_Data!$F$2:$F$501,A15,Workforce_Data!$G$2:$G$501,B15),0)</f>
        <v>22.777777777777779</v>
      </c>
      <c r="H15" s="5">
        <f>IFERROR(AVERAGEIFS(Workforce_Data!$AC$2:$AC$501,Workforce_Data!$F$2:$F$501,A15,Workforce_Data!$G$2:$G$501,B15),0)</f>
        <v>26.166666666666668</v>
      </c>
      <c r="I15" s="5">
        <f>IFERROR(AVERAGEIFS(Workforce_Data!$AD$2:$AD$501,Workforce_Data!$F$2:$F$501,A15,Workforce_Data!$G$2:$G$501,B15),0)</f>
        <v>3.3888888888888888</v>
      </c>
      <c r="J15" s="5">
        <f>COUNTIFS(Workforce_Data!$F$2:$F$501,A15,Workforce_Data!$G$2:$G$501,B15,Workforce_Data!$AD$2:$AD$501,"&gt;0")</f>
        <v>17</v>
      </c>
      <c r="K15" s="5">
        <f>COUNTIFS(Workforce_Data!$F$2:$F$501,A15,Workforce_Data!$G$2:$G$501,B15,Workforce_Data!$AD$2:$AD$501,"&lt;0")</f>
        <v>1</v>
      </c>
    </row>
    <row r="16" spans="1:11" x14ac:dyDescent="0.25">
      <c r="A16" t="s">
        <v>35</v>
      </c>
      <c r="B16" t="s">
        <v>36</v>
      </c>
      <c r="C16" s="5">
        <f>COUNTIFS(Workforce_Data!$F:$F,$A16,Workforce_Data!$G:$G,$B16)</f>
        <v>33</v>
      </c>
      <c r="D16" s="5">
        <f>IFERROR(AVERAGEIFS(Workforce_Data!$W$2:$W$501,Workforce_Data!$F$2:$F$501,A16,Workforce_Data!$G$2:$G$501,B16),0)</f>
        <v>103.90220470090064</v>
      </c>
      <c r="E16">
        <v>114.1563708384419</v>
      </c>
      <c r="F16" s="4">
        <f>IFERROR(AVERAGEIFS(Workforce_Data!$Z$2:$Z$501,Workforce_Data!$F$2:$F$501,A16,Workforce_Data!$G$2:$G$501,B16),0)</f>
        <v>0.91017438569369613</v>
      </c>
      <c r="G16" s="5">
        <f>IFERROR(AVERAGEIFS(Workforce_Data!$N$2:$N$501,Workforce_Data!$F$2:$F$501,A16,Workforce_Data!$G$2:$G$501,B16),0)</f>
        <v>19.878787878787879</v>
      </c>
      <c r="H16" s="5">
        <f>IFERROR(AVERAGEIFS(Workforce_Data!$AC$2:$AC$501,Workforce_Data!$F$2:$F$501,A16,Workforce_Data!$G$2:$G$501,B16),0)</f>
        <v>22.060606060606062</v>
      </c>
      <c r="I16" s="5">
        <f>IFERROR(AVERAGEIFS(Workforce_Data!$AD$2:$AD$501,Workforce_Data!$F$2:$F$501,A16,Workforce_Data!$G$2:$G$501,B16),0)</f>
        <v>2.1818181818181817</v>
      </c>
      <c r="J16" s="5">
        <f>COUNTIFS(Workforce_Data!$F$2:$F$501,A16,Workforce_Data!$G$2:$G$501,B16,Workforce_Data!$AD$2:$AD$501,"&gt;0")</f>
        <v>24</v>
      </c>
      <c r="K16" s="5">
        <f>COUNTIFS(Workforce_Data!$F$2:$F$501,A16,Workforce_Data!$G$2:$G$501,B16,Workforce_Data!$AD$2:$AD$501,"&lt;0")</f>
        <v>8</v>
      </c>
    </row>
    <row r="17" spans="1:11" x14ac:dyDescent="0.25">
      <c r="A17" t="s">
        <v>35</v>
      </c>
      <c r="B17" t="s">
        <v>43</v>
      </c>
      <c r="C17" s="5">
        <f>COUNTIFS(Workforce_Data!$F:$F,$A17,Workforce_Data!$G:$G,$B17)</f>
        <v>58</v>
      </c>
      <c r="D17" s="5">
        <f>IFERROR(AVERAGEIFS(Workforce_Data!$W$2:$W$501,Workforce_Data!$F$2:$F$501,A17,Workforce_Data!$G$2:$G$501,B17),0)</f>
        <v>109.08369995956576</v>
      </c>
      <c r="E17">
        <v>118.01656521145939</v>
      </c>
      <c r="F17" s="4">
        <f>IFERROR(AVERAGEIFS(Workforce_Data!$Z$2:$Z$501,Workforce_Data!$F$2:$F$501,A17,Workforce_Data!$G$2:$G$501,B17),0)</f>
        <v>0.92430837793077614</v>
      </c>
      <c r="G17" s="5">
        <f>IFERROR(AVERAGEIFS(Workforce_Data!$N$2:$N$501,Workforce_Data!$F$2:$F$501,A17,Workforce_Data!$G$2:$G$501,B17),0)</f>
        <v>21.206896551724139</v>
      </c>
      <c r="H17" s="5">
        <f>IFERROR(AVERAGEIFS(Workforce_Data!$AC$2:$AC$501,Workforce_Data!$F$2:$F$501,A17,Workforce_Data!$G$2:$G$501,B17),0)</f>
        <v>23.862068965517242</v>
      </c>
      <c r="I17" s="5">
        <f>IFERROR(AVERAGEIFS(Workforce_Data!$AD$2:$AD$501,Workforce_Data!$F$2:$F$501,A17,Workforce_Data!$G$2:$G$501,B17),0)</f>
        <v>2.6551724137931036</v>
      </c>
      <c r="J17" s="5">
        <f>COUNTIFS(Workforce_Data!$F$2:$F$501,A17,Workforce_Data!$G$2:$G$501,B17,Workforce_Data!$AD$2:$AD$501,"&gt;0")</f>
        <v>47</v>
      </c>
      <c r="K17" s="5">
        <f>COUNTIFS(Workforce_Data!$F$2:$F$501,A17,Workforce_Data!$G$2:$G$501,B17,Workforce_Data!$AD$2:$AD$501,"&lt;0")</f>
        <v>8</v>
      </c>
    </row>
    <row r="18" spans="1:11" x14ac:dyDescent="0.25">
      <c r="A18" t="s">
        <v>35</v>
      </c>
      <c r="B18" t="s">
        <v>79</v>
      </c>
      <c r="C18" s="5">
        <f>COUNTIFS(Workforce_Data!$F:$F,$A18,Workforce_Data!$G:$G,$B18)</f>
        <v>10</v>
      </c>
      <c r="D18" s="5">
        <f>IFERROR(AVERAGEIFS(Workforce_Data!$W$2:$W$501,Workforce_Data!$F$2:$F$501,A18,Workforce_Data!$G$2:$G$501,B18),0)</f>
        <v>95.78020435505718</v>
      </c>
      <c r="E18">
        <v>100.6650131940286</v>
      </c>
      <c r="F18" s="4">
        <f>IFERROR(AVERAGEIFS(Workforce_Data!$Z$2:$Z$501,Workforce_Data!$F$2:$F$501,A18,Workforce_Data!$G$2:$G$501,B18),0)</f>
        <v>0.95147461184397708</v>
      </c>
      <c r="G18" s="5">
        <f>IFERROR(AVERAGEIFS(Workforce_Data!$N$2:$N$501,Workforce_Data!$F$2:$F$501,A18,Workforce_Data!$G$2:$G$501,B18),0)</f>
        <v>16.8</v>
      </c>
      <c r="H18" s="5">
        <f>IFERROR(AVERAGEIFS(Workforce_Data!$AC$2:$AC$501,Workforce_Data!$F$2:$F$501,A18,Workforce_Data!$G$2:$G$501,B18),0)</f>
        <v>19.7</v>
      </c>
      <c r="I18" s="5">
        <f>IFERROR(AVERAGEIFS(Workforce_Data!$AD$2:$AD$501,Workforce_Data!$F$2:$F$501,A18,Workforce_Data!$G$2:$G$501,B18),0)</f>
        <v>2.9</v>
      </c>
      <c r="J18" s="5">
        <f>COUNTIFS(Workforce_Data!$F$2:$F$501,A18,Workforce_Data!$G$2:$G$501,B18,Workforce_Data!$AD$2:$AD$501,"&gt;0")</f>
        <v>9</v>
      </c>
      <c r="K18" s="5">
        <f>COUNTIFS(Workforce_Data!$F$2:$F$501,A18,Workforce_Data!$G$2:$G$501,B18,Workforce_Data!$AD$2:$AD$501,"&lt;0")</f>
        <v>1</v>
      </c>
    </row>
    <row r="21" spans="1:11" x14ac:dyDescent="0.25">
      <c r="B21" s="5"/>
      <c r="D21" s="5"/>
      <c r="G21" s="5"/>
    </row>
    <row r="22" spans="1:11" x14ac:dyDescent="0.25">
      <c r="D22" s="5"/>
      <c r="G22" s="5"/>
    </row>
    <row r="23" spans="1:11" x14ac:dyDescent="0.25">
      <c r="A23" s="5"/>
      <c r="E23" s="5"/>
      <c r="F23" s="5"/>
    </row>
    <row r="24" spans="1:11" x14ac:dyDescent="0.25">
      <c r="C24" s="5"/>
      <c r="E24" s="5"/>
      <c r="F24" s="5"/>
    </row>
    <row r="25" spans="1:11" x14ac:dyDescent="0.25">
      <c r="B25" s="5"/>
    </row>
    <row r="26" spans="1:11" x14ac:dyDescent="0.25">
      <c r="G26" s="5"/>
    </row>
  </sheetData>
  <mergeCells count="1">
    <mergeCell ref="A1:K1"/>
  </mergeCells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selection activeCell="E17" sqref="E17"/>
    </sheetView>
  </sheetViews>
  <sheetFormatPr defaultRowHeight="15" x14ac:dyDescent="0.25"/>
  <cols>
    <col min="1" max="2" width="34" customWidth="1"/>
    <col min="3" max="3" width="14" customWidth="1"/>
    <col min="4" max="6" width="20" customWidth="1"/>
    <col min="7" max="7" width="22.85546875" customWidth="1"/>
    <col min="8" max="8" width="24.140625" customWidth="1"/>
    <col min="9" max="9" width="21" customWidth="1"/>
    <col min="10" max="10" width="15.42578125" customWidth="1"/>
    <col min="11" max="11" width="14.140625" customWidth="1"/>
  </cols>
  <sheetData>
    <row r="1" spans="1:11" ht="21" x14ac:dyDescent="0.35">
      <c r="A1" s="28" t="s">
        <v>1243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3" spans="1:11" x14ac:dyDescent="0.25">
      <c r="A3" s="1" t="s">
        <v>3</v>
      </c>
      <c r="B3" s="1" t="s">
        <v>4</v>
      </c>
      <c r="C3" s="1" t="s">
        <v>1234</v>
      </c>
      <c r="D3" s="1" t="s">
        <v>1235</v>
      </c>
      <c r="E3" s="1" t="s">
        <v>1236</v>
      </c>
      <c r="F3" s="1" t="s">
        <v>1237</v>
      </c>
      <c r="G3" s="1" t="s">
        <v>1238</v>
      </c>
      <c r="H3" s="1" t="s">
        <v>1239</v>
      </c>
      <c r="I3" s="1" t="s">
        <v>1240</v>
      </c>
      <c r="J3" s="1" t="s">
        <v>1241</v>
      </c>
      <c r="K3" s="1" t="s">
        <v>1242</v>
      </c>
    </row>
    <row r="4" spans="1:11" x14ac:dyDescent="0.25">
      <c r="A4" t="s">
        <v>115</v>
      </c>
      <c r="B4" t="s">
        <v>116</v>
      </c>
      <c r="C4">
        <f>COUNTIF(Workforce_Data!$D$2:$D$501,A4)</f>
        <v>2</v>
      </c>
      <c r="D4">
        <f>IFERROR(AVERAGEIF(Workforce_Data!$D$2:$D$501,A4,Workforce_Data!$W$2:$W$501),0)</f>
        <v>110.46372346864958</v>
      </c>
      <c r="E4">
        <v>114.84001220454419</v>
      </c>
      <c r="F4" s="4">
        <f>IFERROR(AVERAGEIF(Workforce_Data!$D$2:$D$501,A4,Workforce_Data!$Z$2:$Z$501),0)</f>
        <v>0.89862564439105319</v>
      </c>
      <c r="G4">
        <f>IFERROR(AVERAGEIF(Workforce_Data!$D$2:$D$501,A4,Workforce_Data!$N$2:$N$501),0)</f>
        <v>24</v>
      </c>
      <c r="H4">
        <f>IFERROR(AVERAGEIF(Workforce_Data!$D$2:$D$501,A4,Workforce_Data!$AC$2:$AC$501),0)</f>
        <v>27.5</v>
      </c>
      <c r="I4">
        <f>IFERROR(AVERAGEIF(Workforce_Data!$D$2:$D$501,A4,Workforce_Data!$AD$2:$AD$501),0)</f>
        <v>3.5</v>
      </c>
      <c r="J4">
        <f>COUNTIFS(Workforce_Data!$D$2:$D$501,A4,Workforce_Data!$AD$2:$AD$501,"&gt;0")</f>
        <v>2</v>
      </c>
      <c r="K4">
        <f>COUNTIFS(Workforce_Data!$D$2:$D$501,A4,Workforce_Data!$AD$2:$AD$501,"&lt;0")</f>
        <v>0</v>
      </c>
    </row>
    <row r="5" spans="1:11" x14ac:dyDescent="0.25">
      <c r="A5" t="s">
        <v>549</v>
      </c>
      <c r="B5" t="s">
        <v>116</v>
      </c>
      <c r="C5" s="5">
        <f>COUNTIF(Workforce_Data!$D$2:$D$501,A5)</f>
        <v>1</v>
      </c>
      <c r="D5" s="5">
        <f>IFERROR(AVERAGEIF(Workforce_Data!$D$2:$D$501,A5,Workforce_Data!$W$2:$W$501),0)</f>
        <v>98.929049531459171</v>
      </c>
      <c r="E5">
        <v>98.929049531459171</v>
      </c>
      <c r="F5" s="4">
        <f>IFERROR(AVERAGEIF(Workforce_Data!$D$2:$D$501,A5,Workforce_Data!$Z$2:$Z$501),0)</f>
        <v>0.87560634716311869</v>
      </c>
      <c r="G5" s="5">
        <f>IFERROR(AVERAGEIF(Workforce_Data!$D$2:$D$501,A5,Workforce_Data!$N$2:$N$501),0)</f>
        <v>14</v>
      </c>
      <c r="H5" s="5">
        <f>IFERROR(AVERAGEIF(Workforce_Data!$D$2:$D$501,A5,Workforce_Data!$AC$2:$AC$501),0)</f>
        <v>16</v>
      </c>
      <c r="I5" s="5">
        <f>IFERROR(AVERAGEIF(Workforce_Data!$D$2:$D$501,A5,Workforce_Data!$AD$2:$AD$501),0)</f>
        <v>2</v>
      </c>
      <c r="J5" s="5">
        <f>COUNTIFS(Workforce_Data!$D$2:$D$501,A5,Workforce_Data!$AD$2:$AD$501,"&gt;0")</f>
        <v>1</v>
      </c>
      <c r="K5" s="5">
        <f>COUNTIFS(Workforce_Data!$D$2:$D$501,A5,Workforce_Data!$AD$2:$AD$501,"&lt;0")</f>
        <v>0</v>
      </c>
    </row>
    <row r="6" spans="1:11" x14ac:dyDescent="0.25">
      <c r="A6" t="s">
        <v>123</v>
      </c>
      <c r="B6" t="s">
        <v>116</v>
      </c>
      <c r="C6" s="5">
        <f>COUNTIF(Workforce_Data!$D$2:$D$501,A6)</f>
        <v>4</v>
      </c>
      <c r="D6" s="5">
        <f>IFERROR(AVERAGEIF(Workforce_Data!$D$2:$D$501,A6,Workforce_Data!$W$2:$W$501),0)</f>
        <v>111.19849591361597</v>
      </c>
      <c r="E6">
        <v>114.7212453735911</v>
      </c>
      <c r="F6" s="4">
        <f>IFERROR(AVERAGEIF(Workforce_Data!$D$2:$D$501,A6,Workforce_Data!$Z$2:$Z$501),0)</f>
        <v>0.96490788644362069</v>
      </c>
      <c r="G6" s="5">
        <f>IFERROR(AVERAGEIF(Workforce_Data!$D$2:$D$501,A6,Workforce_Data!$N$2:$N$501),0)</f>
        <v>20.5</v>
      </c>
      <c r="H6" s="5">
        <f>IFERROR(AVERAGEIF(Workforce_Data!$D$2:$D$501,A6,Workforce_Data!$AC$2:$AC$501),0)</f>
        <v>25.25</v>
      </c>
      <c r="I6" s="5">
        <f>IFERROR(AVERAGEIF(Workforce_Data!$D$2:$D$501,A6,Workforce_Data!$AD$2:$AD$501),0)</f>
        <v>4.75</v>
      </c>
      <c r="J6" s="5">
        <f>COUNTIFS(Workforce_Data!$D$2:$D$501,A6,Workforce_Data!$AD$2:$AD$501,"&gt;0")</f>
        <v>4</v>
      </c>
      <c r="K6" s="5">
        <f>COUNTIFS(Workforce_Data!$D$2:$D$501,A6,Workforce_Data!$AD$2:$AD$501,"&lt;0")</f>
        <v>0</v>
      </c>
    </row>
    <row r="7" spans="1:11" x14ac:dyDescent="0.25">
      <c r="A7" t="s">
        <v>346</v>
      </c>
      <c r="B7" t="s">
        <v>347</v>
      </c>
      <c r="C7" s="5">
        <f>COUNTIF(Workforce_Data!$D$2:$D$501,A7)</f>
        <v>10</v>
      </c>
      <c r="D7" s="5">
        <f>IFERROR(AVERAGEIF(Workforce_Data!$D$2:$D$501,A7,Workforce_Data!$W$2:$W$501),0)</f>
        <v>104.39690386088485</v>
      </c>
      <c r="E7">
        <v>111.8609967474444</v>
      </c>
      <c r="F7" s="4">
        <f>IFERROR(AVERAGEIF(Workforce_Data!$D$2:$D$501,A7,Workforce_Data!$Z$2:$Z$501),0)</f>
        <v>0.92185816665392761</v>
      </c>
      <c r="G7" s="5">
        <f>IFERROR(AVERAGEIF(Workforce_Data!$D$2:$D$501,A7,Workforce_Data!$N$2:$N$501),0)</f>
        <v>18.399999999999999</v>
      </c>
      <c r="H7" s="5">
        <f>IFERROR(AVERAGEIF(Workforce_Data!$D$2:$D$501,A7,Workforce_Data!$AC$2:$AC$501),0)</f>
        <v>20.399999999999999</v>
      </c>
      <c r="I7" s="5">
        <f>IFERROR(AVERAGEIF(Workforce_Data!$D$2:$D$501,A7,Workforce_Data!$AD$2:$AD$501),0)</f>
        <v>2</v>
      </c>
      <c r="J7" s="5">
        <f>COUNTIFS(Workforce_Data!$D$2:$D$501,A7,Workforce_Data!$AD$2:$AD$501,"&gt;0")</f>
        <v>8</v>
      </c>
      <c r="K7" s="5">
        <f>COUNTIFS(Workforce_Data!$D$2:$D$501,A7,Workforce_Data!$AD$2:$AD$501,"&lt;0")</f>
        <v>0</v>
      </c>
    </row>
    <row r="8" spans="1:11" x14ac:dyDescent="0.25">
      <c r="A8" t="s">
        <v>170</v>
      </c>
      <c r="B8" t="s">
        <v>171</v>
      </c>
      <c r="C8" s="5">
        <f>COUNTIF(Workforce_Data!$D$2:$D$501,A8)</f>
        <v>8</v>
      </c>
      <c r="D8" s="5">
        <f>IFERROR(AVERAGEIF(Workforce_Data!$D$2:$D$501,A8,Workforce_Data!$W$2:$W$501),0)</f>
        <v>104.70301448641004</v>
      </c>
      <c r="E8">
        <v>115.81350761029439</v>
      </c>
      <c r="F8" s="4">
        <f>IFERROR(AVERAGEIF(Workforce_Data!$D$2:$D$501,A8,Workforce_Data!$Z$2:$Z$501),0)</f>
        <v>0.91695254010914296</v>
      </c>
      <c r="G8" s="5">
        <f>IFERROR(AVERAGEIF(Workforce_Data!$D$2:$D$501,A8,Workforce_Data!$N$2:$N$501),0)</f>
        <v>20.625</v>
      </c>
      <c r="H8" s="5">
        <f>IFERROR(AVERAGEIF(Workforce_Data!$D$2:$D$501,A8,Workforce_Data!$AC$2:$AC$501),0)</f>
        <v>24.125</v>
      </c>
      <c r="I8" s="5">
        <f>IFERROR(AVERAGEIF(Workforce_Data!$D$2:$D$501,A8,Workforce_Data!$AD$2:$AD$501),0)</f>
        <v>3.5</v>
      </c>
      <c r="J8" s="5">
        <f>COUNTIFS(Workforce_Data!$D$2:$D$501,A8,Workforce_Data!$AD$2:$AD$501,"&gt;0")</f>
        <v>8</v>
      </c>
      <c r="K8" s="5">
        <f>COUNTIFS(Workforce_Data!$D$2:$D$501,A8,Workforce_Data!$AD$2:$AD$501,"&lt;0")</f>
        <v>0</v>
      </c>
    </row>
    <row r="9" spans="1:11" x14ac:dyDescent="0.25">
      <c r="A9" t="s">
        <v>554</v>
      </c>
      <c r="B9" t="s">
        <v>555</v>
      </c>
      <c r="C9" s="5">
        <f>COUNTIF(Workforce_Data!$D$2:$D$501,A9)</f>
        <v>3</v>
      </c>
      <c r="D9" s="5">
        <f>IFERROR(AVERAGEIF(Workforce_Data!$D$2:$D$501,A9,Workforce_Data!$W$2:$W$501),0)</f>
        <v>102.89811653072776</v>
      </c>
      <c r="E9">
        <v>107.1609537865419</v>
      </c>
      <c r="F9" s="4">
        <f>IFERROR(AVERAGEIF(Workforce_Data!$D$2:$D$501,A9,Workforce_Data!$Z$2:$Z$501),0)</f>
        <v>0.90418523278097707</v>
      </c>
      <c r="G9" s="5">
        <f>IFERROR(AVERAGEIF(Workforce_Data!$D$2:$D$501,A9,Workforce_Data!$N$2:$N$501),0)</f>
        <v>21</v>
      </c>
      <c r="H9" s="5">
        <f>IFERROR(AVERAGEIF(Workforce_Data!$D$2:$D$501,A9,Workforce_Data!$AC$2:$AC$501),0)</f>
        <v>23.333333333333332</v>
      </c>
      <c r="I9" s="5">
        <f>IFERROR(AVERAGEIF(Workforce_Data!$D$2:$D$501,A9,Workforce_Data!$AD$2:$AD$501),0)</f>
        <v>2.3333333333333335</v>
      </c>
      <c r="J9" s="5">
        <f>COUNTIFS(Workforce_Data!$D$2:$D$501,A9,Workforce_Data!$AD$2:$AD$501,"&gt;0")</f>
        <v>3</v>
      </c>
      <c r="K9" s="5">
        <f>COUNTIFS(Workforce_Data!$D$2:$D$501,A9,Workforce_Data!$AD$2:$AD$501,"&lt;0")</f>
        <v>0</v>
      </c>
    </row>
    <row r="10" spans="1:11" x14ac:dyDescent="0.25">
      <c r="A10" t="s">
        <v>332</v>
      </c>
      <c r="B10" t="s">
        <v>333</v>
      </c>
      <c r="C10" s="5">
        <f>COUNTIF(Workforce_Data!$D$2:$D$501,A10)</f>
        <v>4</v>
      </c>
      <c r="D10" s="5">
        <f>IFERROR(AVERAGEIF(Workforce_Data!$D$2:$D$501,A10,Workforce_Data!$W$2:$W$501),0)</f>
        <v>102.54599224201954</v>
      </c>
      <c r="E10">
        <v>109.5284578957332</v>
      </c>
      <c r="F10" s="4">
        <f>IFERROR(AVERAGEIF(Workforce_Data!$D$2:$D$501,A10,Workforce_Data!$Z$2:$Z$501),0)</f>
        <v>0.91399223028640386</v>
      </c>
      <c r="G10" s="5">
        <f>IFERROR(AVERAGEIF(Workforce_Data!$D$2:$D$501,A10,Workforce_Data!$N$2:$N$501),0)</f>
        <v>20.25</v>
      </c>
      <c r="H10" s="5">
        <f>IFERROR(AVERAGEIF(Workforce_Data!$D$2:$D$501,A10,Workforce_Data!$AC$2:$AC$501),0)</f>
        <v>22.75</v>
      </c>
      <c r="I10" s="5">
        <f>IFERROR(AVERAGEIF(Workforce_Data!$D$2:$D$501,A10,Workforce_Data!$AD$2:$AD$501),0)</f>
        <v>2.5</v>
      </c>
      <c r="J10" s="5">
        <f>COUNTIFS(Workforce_Data!$D$2:$D$501,A10,Workforce_Data!$AD$2:$AD$501,"&gt;0")</f>
        <v>4</v>
      </c>
      <c r="K10" s="5">
        <f>COUNTIFS(Workforce_Data!$D$2:$D$501,A10,Workforce_Data!$AD$2:$AD$501,"&lt;0")</f>
        <v>0</v>
      </c>
    </row>
    <row r="11" spans="1:11" x14ac:dyDescent="0.25">
      <c r="A11" t="s">
        <v>297</v>
      </c>
      <c r="B11" t="s">
        <v>298</v>
      </c>
      <c r="C11" s="5">
        <f>COUNTIF(Workforce_Data!$D$2:$D$501,A11)</f>
        <v>4</v>
      </c>
      <c r="D11" s="5">
        <f>IFERROR(AVERAGEIF(Workforce_Data!$D$2:$D$501,A11,Workforce_Data!$W$2:$W$501),0)</f>
        <v>87.6484987054382</v>
      </c>
      <c r="E11">
        <v>88.314967853909593</v>
      </c>
      <c r="F11" s="4">
        <f>IFERROR(AVERAGEIF(Workforce_Data!$D$2:$D$501,A11,Workforce_Data!$Z$2:$Z$501),0)</f>
        <v>0.76682557772034698</v>
      </c>
      <c r="G11" s="5">
        <f>IFERROR(AVERAGEIF(Workforce_Data!$D$2:$D$501,A11,Workforce_Data!$N$2:$N$501),0)</f>
        <v>19.75</v>
      </c>
      <c r="H11" s="5">
        <f>IFERROR(AVERAGEIF(Workforce_Data!$D$2:$D$501,A11,Workforce_Data!$AC$2:$AC$501),0)</f>
        <v>17.5</v>
      </c>
      <c r="I11" s="5">
        <f>IFERROR(AVERAGEIF(Workforce_Data!$D$2:$D$501,A11,Workforce_Data!$AD$2:$AD$501),0)</f>
        <v>-2.25</v>
      </c>
      <c r="J11" s="5">
        <f>COUNTIFS(Workforce_Data!$D$2:$D$501,A11,Workforce_Data!$AD$2:$AD$501,"&gt;0")</f>
        <v>0</v>
      </c>
      <c r="K11" s="5">
        <f>COUNTIFS(Workforce_Data!$D$2:$D$501,A11,Workforce_Data!$AD$2:$AD$501,"&lt;0")</f>
        <v>4</v>
      </c>
    </row>
    <row r="12" spans="1:11" x14ac:dyDescent="0.25">
      <c r="A12" t="s">
        <v>186</v>
      </c>
      <c r="B12" t="s">
        <v>187</v>
      </c>
      <c r="C12" s="5">
        <f>COUNTIF(Workforce_Data!$D$2:$D$501,A12)</f>
        <v>10</v>
      </c>
      <c r="D12" s="5">
        <f>IFERROR(AVERAGEIF(Workforce_Data!$D$2:$D$501,A12,Workforce_Data!$W$2:$W$501),0)</f>
        <v>84.886066678602717</v>
      </c>
      <c r="E12">
        <v>87.748654815089907</v>
      </c>
      <c r="F12" s="4">
        <f>IFERROR(AVERAGEIF(Workforce_Data!$D$2:$D$501,A12,Workforce_Data!$Z$2:$Z$501),0)</f>
        <v>0.74103282991939357</v>
      </c>
      <c r="G12" s="5">
        <f>IFERROR(AVERAGEIF(Workforce_Data!$D$2:$D$501,A12,Workforce_Data!$N$2:$N$501),0)</f>
        <v>20.9</v>
      </c>
      <c r="H12" s="5">
        <f>IFERROR(AVERAGEIF(Workforce_Data!$D$2:$D$501,A12,Workforce_Data!$AC$2:$AC$501),0)</f>
        <v>19.399999999999999</v>
      </c>
      <c r="I12" s="5">
        <f>IFERROR(AVERAGEIF(Workforce_Data!$D$2:$D$501,A12,Workforce_Data!$AD$2:$AD$501),0)</f>
        <v>-1.5</v>
      </c>
      <c r="J12" s="5">
        <f>COUNTIFS(Workforce_Data!$D$2:$D$501,A12,Workforce_Data!$AD$2:$AD$501,"&gt;0")</f>
        <v>0</v>
      </c>
      <c r="K12" s="5">
        <f>COUNTIFS(Workforce_Data!$D$2:$D$501,A12,Workforce_Data!$AD$2:$AD$501,"&lt;0")</f>
        <v>10</v>
      </c>
    </row>
    <row r="13" spans="1:11" x14ac:dyDescent="0.25">
      <c r="A13" t="s">
        <v>224</v>
      </c>
      <c r="B13" t="s">
        <v>225</v>
      </c>
      <c r="C13" s="5">
        <f>COUNTIF(Workforce_Data!$D$2:$D$501,A13)</f>
        <v>5</v>
      </c>
      <c r="D13" s="5">
        <f>IFERROR(AVERAGEIF(Workforce_Data!$D$2:$D$501,A13,Workforce_Data!$W$2:$W$501),0)</f>
        <v>111.86185530544142</v>
      </c>
      <c r="E13">
        <v>118.4492904119072</v>
      </c>
      <c r="F13" s="4">
        <f>IFERROR(AVERAGEIF(Workforce_Data!$D$2:$D$501,A13,Workforce_Data!$Z$2:$Z$501),0)</f>
        <v>0.99398796305096826</v>
      </c>
      <c r="G13" s="5">
        <f>IFERROR(AVERAGEIF(Workforce_Data!$D$2:$D$501,A13,Workforce_Data!$N$2:$N$501),0)</f>
        <v>20.2</v>
      </c>
      <c r="H13" s="5">
        <f>IFERROR(AVERAGEIF(Workforce_Data!$D$2:$D$501,A13,Workforce_Data!$AC$2:$AC$501),0)</f>
        <v>24</v>
      </c>
      <c r="I13" s="5">
        <f>IFERROR(AVERAGEIF(Workforce_Data!$D$2:$D$501,A13,Workforce_Data!$AD$2:$AD$501),0)</f>
        <v>3.8</v>
      </c>
      <c r="J13" s="5">
        <f>COUNTIFS(Workforce_Data!$D$2:$D$501,A13,Workforce_Data!$AD$2:$AD$501,"&gt;0")</f>
        <v>5</v>
      </c>
      <c r="K13" s="5">
        <f>COUNTIFS(Workforce_Data!$D$2:$D$501,A13,Workforce_Data!$AD$2:$AD$501,"&lt;0")</f>
        <v>0</v>
      </c>
    </row>
    <row r="14" spans="1:11" x14ac:dyDescent="0.25">
      <c r="A14" t="s">
        <v>103</v>
      </c>
      <c r="B14" t="s">
        <v>104</v>
      </c>
      <c r="C14" s="5">
        <f>COUNTIF(Workforce_Data!$D$2:$D$501,A14)</f>
        <v>3</v>
      </c>
      <c r="D14" s="5">
        <f>IFERROR(AVERAGEIF(Workforce_Data!$D$2:$D$501,A14,Workforce_Data!$W$2:$W$501),0)</f>
        <v>113.44462405451827</v>
      </c>
      <c r="E14">
        <v>114.4209043357457</v>
      </c>
      <c r="F14" s="4">
        <f>IFERROR(AVERAGEIF(Workforce_Data!$D$2:$D$501,A14,Workforce_Data!$Z$2:$Z$501),0)</f>
        <v>0.9962186663703978</v>
      </c>
      <c r="G14" s="5">
        <f>IFERROR(AVERAGEIF(Workforce_Data!$D$2:$D$501,A14,Workforce_Data!$N$2:$N$501),0)</f>
        <v>21.666666666666668</v>
      </c>
      <c r="H14" s="5">
        <f>IFERROR(AVERAGEIF(Workforce_Data!$D$2:$D$501,A14,Workforce_Data!$AC$2:$AC$501),0)</f>
        <v>24.666666666666668</v>
      </c>
      <c r="I14" s="5">
        <f>IFERROR(AVERAGEIF(Workforce_Data!$D$2:$D$501,A14,Workforce_Data!$AD$2:$AD$501),0)</f>
        <v>3</v>
      </c>
      <c r="J14" s="5">
        <f>COUNTIFS(Workforce_Data!$D$2:$D$501,A14,Workforce_Data!$AD$2:$AD$501,"&gt;0")</f>
        <v>3</v>
      </c>
      <c r="K14" s="5">
        <f>COUNTIFS(Workforce_Data!$D$2:$D$501,A14,Workforce_Data!$AD$2:$AD$501,"&lt;0")</f>
        <v>0</v>
      </c>
    </row>
    <row r="15" spans="1:11" x14ac:dyDescent="0.25">
      <c r="A15" t="s">
        <v>355</v>
      </c>
      <c r="B15" t="s">
        <v>356</v>
      </c>
      <c r="C15" s="5">
        <f>COUNTIF(Workforce_Data!$D$2:$D$501,A15)</f>
        <v>5</v>
      </c>
      <c r="D15" s="5">
        <f>IFERROR(AVERAGEIF(Workforce_Data!$D$2:$D$501,A15,Workforce_Data!$W$2:$W$501),0)</f>
        <v>108.7771560789915</v>
      </c>
      <c r="E15">
        <v>110.5212355212355</v>
      </c>
      <c r="F15" s="4">
        <f>IFERROR(AVERAGEIF(Workforce_Data!$D$2:$D$501,A15,Workforce_Data!$Z$2:$Z$501),0)</f>
        <v>0.96932782563029884</v>
      </c>
      <c r="G15" s="5">
        <f>IFERROR(AVERAGEIF(Workforce_Data!$D$2:$D$501,A15,Workforce_Data!$N$2:$N$501),0)</f>
        <v>18</v>
      </c>
      <c r="H15" s="5">
        <f>IFERROR(AVERAGEIF(Workforce_Data!$D$2:$D$501,A15,Workforce_Data!$AC$2:$AC$501),0)</f>
        <v>21.6</v>
      </c>
      <c r="I15" s="5">
        <f>IFERROR(AVERAGEIF(Workforce_Data!$D$2:$D$501,A15,Workforce_Data!$AD$2:$AD$501),0)</f>
        <v>3.6</v>
      </c>
      <c r="J15" s="5">
        <f>COUNTIFS(Workforce_Data!$D$2:$D$501,A15,Workforce_Data!$AD$2:$AD$501,"&gt;0")</f>
        <v>5</v>
      </c>
      <c r="K15" s="5">
        <f>COUNTIFS(Workforce_Data!$D$2:$D$501,A15,Workforce_Data!$AD$2:$AD$501,"&lt;0")</f>
        <v>0</v>
      </c>
    </row>
    <row r="16" spans="1:11" x14ac:dyDescent="0.25">
      <c r="A16" t="s">
        <v>174</v>
      </c>
      <c r="B16" t="s">
        <v>175</v>
      </c>
      <c r="C16" s="5">
        <f>COUNTIF(Workforce_Data!$D$2:$D$501,A16)</f>
        <v>7</v>
      </c>
      <c r="D16" s="5">
        <f>IFERROR(AVERAGEIF(Workforce_Data!$D$2:$D$501,A16,Workforce_Data!$W$2:$W$501),0)</f>
        <v>115.54549448963247</v>
      </c>
      <c r="E16">
        <v>120.7553296803768</v>
      </c>
      <c r="F16" s="4">
        <f>IFERROR(AVERAGEIF(Workforce_Data!$D$2:$D$501,A16,Workforce_Data!$Z$2:$Z$501),0)</f>
        <v>0.97792245410378165</v>
      </c>
      <c r="G16" s="5">
        <f>IFERROR(AVERAGEIF(Workforce_Data!$D$2:$D$501,A16,Workforce_Data!$N$2:$N$501),0)</f>
        <v>20</v>
      </c>
      <c r="H16" s="5">
        <f>IFERROR(AVERAGEIF(Workforce_Data!$D$2:$D$501,A16,Workforce_Data!$AC$2:$AC$501),0)</f>
        <v>23.857142857142858</v>
      </c>
      <c r="I16" s="5">
        <f>IFERROR(AVERAGEIF(Workforce_Data!$D$2:$D$501,A16,Workforce_Data!$AD$2:$AD$501),0)</f>
        <v>3.8571428571428572</v>
      </c>
      <c r="J16" s="5">
        <f>COUNTIFS(Workforce_Data!$D$2:$D$501,A16,Workforce_Data!$AD$2:$AD$501,"&gt;0")</f>
        <v>7</v>
      </c>
      <c r="K16" s="5">
        <f>COUNTIFS(Workforce_Data!$D$2:$D$501,A16,Workforce_Data!$AD$2:$AD$501,"&lt;0")</f>
        <v>0</v>
      </c>
    </row>
    <row r="17" spans="1:11" x14ac:dyDescent="0.25">
      <c r="A17" t="s">
        <v>95</v>
      </c>
      <c r="B17" t="s">
        <v>96</v>
      </c>
      <c r="C17" s="5">
        <f>COUNTIF(Workforce_Data!$D$2:$D$501,A17)</f>
        <v>5</v>
      </c>
      <c r="D17" s="5">
        <f>IFERROR(AVERAGEIF(Workforce_Data!$D$2:$D$501,A17,Workforce_Data!$W$2:$W$501),0)</f>
        <v>111.34355973532374</v>
      </c>
      <c r="E17">
        <v>118.4389823199655</v>
      </c>
      <c r="F17" s="4">
        <f>IFERROR(AVERAGEIF(Workforce_Data!$D$2:$D$501,A17,Workforce_Data!$Z$2:$Z$501),0)</f>
        <v>0.96742167012128755</v>
      </c>
      <c r="G17" s="5">
        <f>IFERROR(AVERAGEIF(Workforce_Data!$D$2:$D$501,A17,Workforce_Data!$N$2:$N$501),0)</f>
        <v>19.2</v>
      </c>
      <c r="H17" s="5">
        <f>IFERROR(AVERAGEIF(Workforce_Data!$D$2:$D$501,A17,Workforce_Data!$AC$2:$AC$501),0)</f>
        <v>23.4</v>
      </c>
      <c r="I17" s="5">
        <f>IFERROR(AVERAGEIF(Workforce_Data!$D$2:$D$501,A17,Workforce_Data!$AD$2:$AD$501),0)</f>
        <v>4.2</v>
      </c>
      <c r="J17" s="5">
        <f>COUNTIFS(Workforce_Data!$D$2:$D$501,A17,Workforce_Data!$AD$2:$AD$501,"&gt;0")</f>
        <v>5</v>
      </c>
      <c r="K17" s="5">
        <f>COUNTIFS(Workforce_Data!$D$2:$D$501,A17,Workforce_Data!$AD$2:$AD$501,"&lt;0")</f>
        <v>0</v>
      </c>
    </row>
    <row r="18" spans="1:11" x14ac:dyDescent="0.25">
      <c r="A18" t="s">
        <v>448</v>
      </c>
      <c r="B18" t="s">
        <v>449</v>
      </c>
      <c r="C18" s="5">
        <f>COUNTIF(Workforce_Data!$D$2:$D$501,A18)</f>
        <v>5</v>
      </c>
      <c r="D18" s="5">
        <f>IFERROR(AVERAGEIF(Workforce_Data!$D$2:$D$501,A18,Workforce_Data!$W$2:$W$501),0)</f>
        <v>114.25760780242362</v>
      </c>
      <c r="E18">
        <v>124.16249999999999</v>
      </c>
      <c r="F18" s="4">
        <f>IFERROR(AVERAGEIF(Workforce_Data!$D$2:$D$501,A18,Workforce_Data!$Z$2:$Z$501),0)</f>
        <v>0.94543999720137728</v>
      </c>
      <c r="G18" s="5">
        <f>IFERROR(AVERAGEIF(Workforce_Data!$D$2:$D$501,A18,Workforce_Data!$N$2:$N$501),0)</f>
        <v>21.4</v>
      </c>
      <c r="H18" s="5">
        <f>IFERROR(AVERAGEIF(Workforce_Data!$D$2:$D$501,A18,Workforce_Data!$AC$2:$AC$501),0)</f>
        <v>25.2</v>
      </c>
      <c r="I18" s="5">
        <f>IFERROR(AVERAGEIF(Workforce_Data!$D$2:$D$501,A18,Workforce_Data!$AD$2:$AD$501),0)</f>
        <v>3.8</v>
      </c>
      <c r="J18" s="5">
        <f>COUNTIFS(Workforce_Data!$D$2:$D$501,A18,Workforce_Data!$AD$2:$AD$501,"&gt;0")</f>
        <v>5</v>
      </c>
      <c r="K18" s="5">
        <f>COUNTIFS(Workforce_Data!$D$2:$D$501,A18,Workforce_Data!$AD$2:$AD$501,"&lt;0")</f>
        <v>0</v>
      </c>
    </row>
    <row r="19" spans="1:11" x14ac:dyDescent="0.25">
      <c r="A19" t="s">
        <v>208</v>
      </c>
      <c r="B19" t="s">
        <v>209</v>
      </c>
      <c r="C19" s="5">
        <f>COUNTIF(Workforce_Data!$D$2:$D$501,A19)</f>
        <v>5</v>
      </c>
      <c r="D19" s="5">
        <f>IFERROR(AVERAGEIF(Workforce_Data!$D$2:$D$501,A19,Workforce_Data!$W$2:$W$501),0)</f>
        <v>116.2866938570487</v>
      </c>
      <c r="E19">
        <v>120.2183622828784</v>
      </c>
      <c r="F19" s="4">
        <f>IFERROR(AVERAGEIF(Workforce_Data!$D$2:$D$501,A19,Workforce_Data!$Z$2:$Z$501),0)</f>
        <v>0.98402865339495205</v>
      </c>
      <c r="G19" s="5">
        <f>IFERROR(AVERAGEIF(Workforce_Data!$D$2:$D$501,A19,Workforce_Data!$N$2:$N$501),0)</f>
        <v>20.6</v>
      </c>
      <c r="H19" s="5">
        <f>IFERROR(AVERAGEIF(Workforce_Data!$D$2:$D$501,A19,Workforce_Data!$AC$2:$AC$501),0)</f>
        <v>25</v>
      </c>
      <c r="I19" s="5">
        <f>IFERROR(AVERAGEIF(Workforce_Data!$D$2:$D$501,A19,Workforce_Data!$AD$2:$AD$501),0)</f>
        <v>4.4000000000000004</v>
      </c>
      <c r="J19" s="5">
        <f>COUNTIFS(Workforce_Data!$D$2:$D$501,A19,Workforce_Data!$AD$2:$AD$501,"&gt;0")</f>
        <v>5</v>
      </c>
      <c r="K19" s="5">
        <f>COUNTIFS(Workforce_Data!$D$2:$D$501,A19,Workforce_Data!$AD$2:$AD$501,"&lt;0")</f>
        <v>0</v>
      </c>
    </row>
    <row r="20" spans="1:11" x14ac:dyDescent="0.25">
      <c r="A20" t="s">
        <v>737</v>
      </c>
      <c r="B20" t="s">
        <v>738</v>
      </c>
      <c r="C20" s="5">
        <f>COUNTIF(Workforce_Data!$D$2:$D$501,A20)</f>
        <v>3</v>
      </c>
      <c r="D20" s="5">
        <f>IFERROR(AVERAGEIF(Workforce_Data!$D$2:$D$501,A20,Workforce_Data!$W$2:$W$501),0)</f>
        <v>111.4772673491161</v>
      </c>
      <c r="E20">
        <v>113.58111377544149</v>
      </c>
      <c r="F20" s="4">
        <f>IFERROR(AVERAGEIF(Workforce_Data!$D$2:$D$501,A20,Workforce_Data!$Z$2:$Z$501),0)</f>
        <v>0.97086844753377743</v>
      </c>
      <c r="G20" s="5">
        <f>IFERROR(AVERAGEIF(Workforce_Data!$D$2:$D$501,A20,Workforce_Data!$N$2:$N$501),0)</f>
        <v>19.666666666666668</v>
      </c>
      <c r="H20" s="5">
        <f>IFERROR(AVERAGEIF(Workforce_Data!$D$2:$D$501,A20,Workforce_Data!$AC$2:$AC$501),0)</f>
        <v>23</v>
      </c>
      <c r="I20" s="5">
        <f>IFERROR(AVERAGEIF(Workforce_Data!$D$2:$D$501,A20,Workforce_Data!$AD$2:$AD$501),0)</f>
        <v>3.3333333333333335</v>
      </c>
      <c r="J20" s="5">
        <f>COUNTIFS(Workforce_Data!$D$2:$D$501,A20,Workforce_Data!$AD$2:$AD$501,"&gt;0")</f>
        <v>3</v>
      </c>
      <c r="K20" s="5">
        <f>COUNTIFS(Workforce_Data!$D$2:$D$501,A20,Workforce_Data!$AD$2:$AD$501,"&lt;0")</f>
        <v>0</v>
      </c>
    </row>
    <row r="21" spans="1:11" x14ac:dyDescent="0.25">
      <c r="A21" t="s">
        <v>287</v>
      </c>
      <c r="B21" t="s">
        <v>288</v>
      </c>
      <c r="C21" s="5">
        <f>COUNTIF(Workforce_Data!$D$2:$D$501,A21)</f>
        <v>4</v>
      </c>
      <c r="D21" s="5">
        <f>IFERROR(AVERAGEIF(Workforce_Data!$D$2:$D$501,A21,Workforce_Data!$W$2:$W$501),0)</f>
        <v>119.29757288979121</v>
      </c>
      <c r="E21">
        <v>123.8002098663863</v>
      </c>
      <c r="F21" s="4">
        <f>IFERROR(AVERAGEIF(Workforce_Data!$D$2:$D$501,A21,Workforce_Data!$Z$2:$Z$501),0)</f>
        <v>1.021347740140252</v>
      </c>
      <c r="G21" s="5">
        <f>IFERROR(AVERAGEIF(Workforce_Data!$D$2:$D$501,A21,Workforce_Data!$N$2:$N$501),0)</f>
        <v>19.5</v>
      </c>
      <c r="H21" s="5">
        <f>IFERROR(AVERAGEIF(Workforce_Data!$D$2:$D$501,A21,Workforce_Data!$AC$2:$AC$501),0)</f>
        <v>24</v>
      </c>
      <c r="I21" s="5">
        <f>IFERROR(AVERAGEIF(Workforce_Data!$D$2:$D$501,A21,Workforce_Data!$AD$2:$AD$501),0)</f>
        <v>4.5</v>
      </c>
      <c r="J21" s="5">
        <f>COUNTIFS(Workforce_Data!$D$2:$D$501,A21,Workforce_Data!$AD$2:$AD$501,"&gt;0")</f>
        <v>4</v>
      </c>
      <c r="K21" s="5">
        <f>COUNTIFS(Workforce_Data!$D$2:$D$501,A21,Workforce_Data!$AD$2:$AD$501,"&lt;0")</f>
        <v>0</v>
      </c>
    </row>
    <row r="22" spans="1:11" x14ac:dyDescent="0.25">
      <c r="A22" t="s">
        <v>783</v>
      </c>
      <c r="B22" t="s">
        <v>784</v>
      </c>
      <c r="C22" s="5">
        <f>COUNTIF(Workforce_Data!$D$2:$D$501,A22)</f>
        <v>2</v>
      </c>
      <c r="D22" s="5">
        <f>IFERROR(AVERAGEIF(Workforce_Data!$D$2:$D$501,A22,Workforce_Data!$W$2:$W$501),0)</f>
        <v>75.9995947539051</v>
      </c>
      <c r="E22">
        <v>78.060694812849988</v>
      </c>
      <c r="F22" s="4">
        <f>IFERROR(AVERAGEIF(Workforce_Data!$D$2:$D$501,A22,Workforce_Data!$Z$2:$Z$501),0)</f>
        <v>0.65909554423790206</v>
      </c>
      <c r="G22" s="5">
        <f>IFERROR(AVERAGEIF(Workforce_Data!$D$2:$D$501,A22,Workforce_Data!$N$2:$N$501),0)</f>
        <v>17</v>
      </c>
      <c r="H22" s="5">
        <f>IFERROR(AVERAGEIF(Workforce_Data!$D$2:$D$501,A22,Workforce_Data!$AC$2:$AC$501),0)</f>
        <v>14.5</v>
      </c>
      <c r="I22" s="5">
        <f>IFERROR(AVERAGEIF(Workforce_Data!$D$2:$D$501,A22,Workforce_Data!$AD$2:$AD$501),0)</f>
        <v>-2.5</v>
      </c>
      <c r="J22" s="5">
        <f>COUNTIFS(Workforce_Data!$D$2:$D$501,A22,Workforce_Data!$AD$2:$AD$501,"&gt;0")</f>
        <v>0</v>
      </c>
      <c r="K22" s="5">
        <f>COUNTIFS(Workforce_Data!$D$2:$D$501,A22,Workforce_Data!$AD$2:$AD$501,"&lt;0")</f>
        <v>2</v>
      </c>
    </row>
    <row r="23" spans="1:11" x14ac:dyDescent="0.25">
      <c r="A23" t="s">
        <v>134</v>
      </c>
      <c r="B23" t="s">
        <v>135</v>
      </c>
      <c r="C23" s="5">
        <f>COUNTIF(Workforce_Data!$D$2:$D$501,A23)</f>
        <v>7</v>
      </c>
      <c r="D23" s="5">
        <f>IFERROR(AVERAGEIF(Workforce_Data!$D$2:$D$501,A23,Workforce_Data!$W$2:$W$501),0)</f>
        <v>110.45851337985609</v>
      </c>
      <c r="E23">
        <v>117.3108317589498</v>
      </c>
      <c r="F23" s="4">
        <f>IFERROR(AVERAGEIF(Workforce_Data!$D$2:$D$501,A23,Workforce_Data!$Z$2:$Z$501),0)</f>
        <v>0.91991917673891854</v>
      </c>
      <c r="G23" s="5">
        <f>IFERROR(AVERAGEIF(Workforce_Data!$D$2:$D$501,A23,Workforce_Data!$N$2:$N$501),0)</f>
        <v>22.285714285714285</v>
      </c>
      <c r="H23" s="5">
        <f>IFERROR(AVERAGEIF(Workforce_Data!$D$2:$D$501,A23,Workforce_Data!$AC$2:$AC$501),0)</f>
        <v>26.428571428571427</v>
      </c>
      <c r="I23" s="5">
        <f>IFERROR(AVERAGEIF(Workforce_Data!$D$2:$D$501,A23,Workforce_Data!$AD$2:$AD$501),0)</f>
        <v>4.1428571428571432</v>
      </c>
      <c r="J23" s="5">
        <f>COUNTIFS(Workforce_Data!$D$2:$D$501,A23,Workforce_Data!$AD$2:$AD$501,"&gt;0")</f>
        <v>7</v>
      </c>
      <c r="K23" s="5">
        <f>COUNTIFS(Workforce_Data!$D$2:$D$501,A23,Workforce_Data!$AD$2:$AD$501,"&lt;0")</f>
        <v>0</v>
      </c>
    </row>
    <row r="24" spans="1:11" x14ac:dyDescent="0.25">
      <c r="A24" t="s">
        <v>309</v>
      </c>
      <c r="B24" t="s">
        <v>135</v>
      </c>
      <c r="C24" s="5">
        <f>COUNTIF(Workforce_Data!$D$2:$D$501,A24)</f>
        <v>7</v>
      </c>
      <c r="D24" s="5">
        <f>IFERROR(AVERAGEIF(Workforce_Data!$D$2:$D$501,A24,Workforce_Data!$W$2:$W$501),0)</f>
        <v>101.7182699402241</v>
      </c>
      <c r="E24">
        <v>109.48960158507531</v>
      </c>
      <c r="F24" s="4">
        <f>IFERROR(AVERAGEIF(Workforce_Data!$D$2:$D$501,A24,Workforce_Data!$Z$2:$Z$501),0)</f>
        <v>0.9391270472567177</v>
      </c>
      <c r="G24" s="5">
        <f>IFERROR(AVERAGEIF(Workforce_Data!$D$2:$D$501,A24,Workforce_Data!$N$2:$N$501),0)</f>
        <v>17.428571428571427</v>
      </c>
      <c r="H24" s="5">
        <f>IFERROR(AVERAGEIF(Workforce_Data!$D$2:$D$501,A24,Workforce_Data!$AC$2:$AC$501),0)</f>
        <v>19.571428571428573</v>
      </c>
      <c r="I24" s="5">
        <f>IFERROR(AVERAGEIF(Workforce_Data!$D$2:$D$501,A24,Workforce_Data!$AD$2:$AD$501),0)</f>
        <v>2.1428571428571428</v>
      </c>
      <c r="J24" s="5">
        <f>COUNTIFS(Workforce_Data!$D$2:$D$501,A24,Workforce_Data!$AD$2:$AD$501,"&gt;0")</f>
        <v>7</v>
      </c>
      <c r="K24" s="5">
        <f>COUNTIFS(Workforce_Data!$D$2:$D$501,A24,Workforce_Data!$AD$2:$AD$501,"&lt;0")</f>
        <v>0</v>
      </c>
    </row>
    <row r="25" spans="1:11" x14ac:dyDescent="0.25">
      <c r="A25" t="s">
        <v>193</v>
      </c>
      <c r="B25" t="s">
        <v>135</v>
      </c>
      <c r="C25" s="5">
        <f>COUNTIF(Workforce_Data!$D$2:$D$501,A25)</f>
        <v>9</v>
      </c>
      <c r="D25" s="5">
        <f>IFERROR(AVERAGEIF(Workforce_Data!$D$2:$D$501,A25,Workforce_Data!$W$2:$W$501),0)</f>
        <v>110.1507758920655</v>
      </c>
      <c r="E25">
        <v>114.2389758179232</v>
      </c>
      <c r="F25" s="4">
        <f>IFERROR(AVERAGEIF(Workforce_Data!$D$2:$D$501,A25,Workforce_Data!$Z$2:$Z$501),0)</f>
        <v>0.93747199663659631</v>
      </c>
      <c r="G25" s="5">
        <f>IFERROR(AVERAGEIF(Workforce_Data!$D$2:$D$501,A25,Workforce_Data!$N$2:$N$501),0)</f>
        <v>20.777777777777779</v>
      </c>
      <c r="H25" s="5">
        <f>IFERROR(AVERAGEIF(Workforce_Data!$D$2:$D$501,A25,Workforce_Data!$AC$2:$AC$501),0)</f>
        <v>23.555555555555557</v>
      </c>
      <c r="I25" s="5">
        <f>IFERROR(AVERAGEIF(Workforce_Data!$D$2:$D$501,A25,Workforce_Data!$AD$2:$AD$501),0)</f>
        <v>2.7777777777777777</v>
      </c>
      <c r="J25" s="5">
        <f>COUNTIFS(Workforce_Data!$D$2:$D$501,A25,Workforce_Data!$AD$2:$AD$501,"&gt;0")</f>
        <v>9</v>
      </c>
      <c r="K25" s="5">
        <f>COUNTIFS(Workforce_Data!$D$2:$D$501,A25,Workforce_Data!$AD$2:$AD$501,"&lt;0")</f>
        <v>0</v>
      </c>
    </row>
    <row r="26" spans="1:11" x14ac:dyDescent="0.25">
      <c r="A26" t="s">
        <v>359</v>
      </c>
      <c r="B26" t="s">
        <v>360</v>
      </c>
      <c r="C26" s="5">
        <f>COUNTIF(Workforce_Data!$D$2:$D$501,A26)</f>
        <v>4</v>
      </c>
      <c r="D26" s="5">
        <f>IFERROR(AVERAGEIF(Workforce_Data!$D$2:$D$501,A26,Workforce_Data!$W$2:$W$501),0)</f>
        <v>107.0008013172304</v>
      </c>
      <c r="E26">
        <v>111.43942048869241</v>
      </c>
      <c r="F26" s="4">
        <f>IFERROR(AVERAGEIF(Workforce_Data!$D$2:$D$501,A26,Workforce_Data!$Z$2:$Z$501),0)</f>
        <v>0.91116133834939061</v>
      </c>
      <c r="G26" s="5">
        <f>IFERROR(AVERAGEIF(Workforce_Data!$D$2:$D$501,A26,Workforce_Data!$N$2:$N$501),0)</f>
        <v>21.5</v>
      </c>
      <c r="H26" s="5">
        <f>IFERROR(AVERAGEIF(Workforce_Data!$D$2:$D$501,A26,Workforce_Data!$AC$2:$AC$501),0)</f>
        <v>25.25</v>
      </c>
      <c r="I26" s="5">
        <f>IFERROR(AVERAGEIF(Workforce_Data!$D$2:$D$501,A26,Workforce_Data!$AD$2:$AD$501),0)</f>
        <v>3.75</v>
      </c>
      <c r="J26" s="5">
        <f>COUNTIFS(Workforce_Data!$D$2:$D$501,A26,Workforce_Data!$AD$2:$AD$501,"&gt;0")</f>
        <v>4</v>
      </c>
      <c r="K26" s="5">
        <f>COUNTIFS(Workforce_Data!$D$2:$D$501,A26,Workforce_Data!$AD$2:$AD$501,"&lt;0")</f>
        <v>0</v>
      </c>
    </row>
    <row r="27" spans="1:11" x14ac:dyDescent="0.25">
      <c r="A27" t="s">
        <v>182</v>
      </c>
      <c r="B27" t="s">
        <v>183</v>
      </c>
      <c r="C27" s="5">
        <f>COUNTIF(Workforce_Data!$D$2:$D$501,A27)</f>
        <v>6</v>
      </c>
      <c r="D27" s="5">
        <f>IFERROR(AVERAGEIF(Workforce_Data!$D$2:$D$501,A27,Workforce_Data!$W$2:$W$501),0)</f>
        <v>102.88353057347744</v>
      </c>
      <c r="E27">
        <v>104.8937247562497</v>
      </c>
      <c r="F27" s="4">
        <f>IFERROR(AVERAGEIF(Workforce_Data!$D$2:$D$501,A27,Workforce_Data!$Z$2:$Z$501),0)</f>
        <v>0.92639592722474029</v>
      </c>
      <c r="G27" s="5">
        <f>IFERROR(AVERAGEIF(Workforce_Data!$D$2:$D$501,A27,Workforce_Data!$N$2:$N$501),0)</f>
        <v>19.666666666666668</v>
      </c>
      <c r="H27" s="5">
        <f>IFERROR(AVERAGEIF(Workforce_Data!$D$2:$D$501,A27,Workforce_Data!$AC$2:$AC$501),0)</f>
        <v>22.5</v>
      </c>
      <c r="I27" s="5">
        <f>IFERROR(AVERAGEIF(Workforce_Data!$D$2:$D$501,A27,Workforce_Data!$AD$2:$AD$501),0)</f>
        <v>2.8333333333333335</v>
      </c>
      <c r="J27" s="5">
        <f>COUNTIFS(Workforce_Data!$D$2:$D$501,A27,Workforce_Data!$AD$2:$AD$501,"&gt;0")</f>
        <v>5</v>
      </c>
      <c r="K27" s="5">
        <f>COUNTIFS(Workforce_Data!$D$2:$D$501,A27,Workforce_Data!$AD$2:$AD$501,"&lt;0")</f>
        <v>0</v>
      </c>
    </row>
    <row r="28" spans="1:11" x14ac:dyDescent="0.25">
      <c r="A28" t="s">
        <v>398</v>
      </c>
      <c r="B28" t="s">
        <v>399</v>
      </c>
      <c r="C28" s="5">
        <f>COUNTIF(Workforce_Data!$D$2:$D$501,A28)</f>
        <v>7</v>
      </c>
      <c r="D28" s="5">
        <f>IFERROR(AVERAGEIF(Workforce_Data!$D$2:$D$501,A28,Workforce_Data!$W$2:$W$501),0)</f>
        <v>108.69572172165371</v>
      </c>
      <c r="E28">
        <v>114.7781439821534</v>
      </c>
      <c r="F28" s="4">
        <f>IFERROR(AVERAGEIF(Workforce_Data!$D$2:$D$501,A28,Workforce_Data!$Z$2:$Z$501),0)</f>
        <v>0.97446192177479662</v>
      </c>
      <c r="G28" s="5">
        <f>IFERROR(AVERAGEIF(Workforce_Data!$D$2:$D$501,A28,Workforce_Data!$N$2:$N$501),0)</f>
        <v>18.142857142857142</v>
      </c>
      <c r="H28" s="5">
        <f>IFERROR(AVERAGEIF(Workforce_Data!$D$2:$D$501,A28,Workforce_Data!$AC$2:$AC$501),0)</f>
        <v>20.857142857142858</v>
      </c>
      <c r="I28" s="5">
        <f>IFERROR(AVERAGEIF(Workforce_Data!$D$2:$D$501,A28,Workforce_Data!$AD$2:$AD$501),0)</f>
        <v>2.7142857142857144</v>
      </c>
      <c r="J28" s="5">
        <f>COUNTIFS(Workforce_Data!$D$2:$D$501,A28,Workforce_Data!$AD$2:$AD$501,"&gt;0")</f>
        <v>6</v>
      </c>
      <c r="K28" s="5">
        <f>COUNTIFS(Workforce_Data!$D$2:$D$501,A28,Workforce_Data!$AD$2:$AD$501,"&lt;0")</f>
        <v>0</v>
      </c>
    </row>
    <row r="29" spans="1:11" x14ac:dyDescent="0.25">
      <c r="A29" t="s">
        <v>220</v>
      </c>
      <c r="B29" t="s">
        <v>221</v>
      </c>
      <c r="C29" s="5">
        <f>COUNTIF(Workforce_Data!$D$2:$D$501,A29)</f>
        <v>4</v>
      </c>
      <c r="D29" s="5">
        <f>IFERROR(AVERAGEIF(Workforce_Data!$D$2:$D$501,A29,Workforce_Data!$W$2:$W$501),0)</f>
        <v>89.388264096313534</v>
      </c>
      <c r="E29">
        <v>93.092023045347688</v>
      </c>
      <c r="F29" s="4">
        <f>IFERROR(AVERAGEIF(Workforce_Data!$D$2:$D$501,A29,Workforce_Data!$Z$2:$Z$501),0)</f>
        <v>0.83958078751929288</v>
      </c>
      <c r="G29" s="5">
        <f>IFERROR(AVERAGEIF(Workforce_Data!$D$2:$D$501,A29,Workforce_Data!$N$2:$N$501),0)</f>
        <v>17.25</v>
      </c>
      <c r="H29" s="5">
        <f>IFERROR(AVERAGEIF(Workforce_Data!$D$2:$D$501,A29,Workforce_Data!$AC$2:$AC$501),0)</f>
        <v>18.25</v>
      </c>
      <c r="I29" s="5">
        <f>IFERROR(AVERAGEIF(Workforce_Data!$D$2:$D$501,A29,Workforce_Data!$AD$2:$AD$501),0)</f>
        <v>1</v>
      </c>
      <c r="J29" s="5">
        <f>COUNTIFS(Workforce_Data!$D$2:$D$501,A29,Workforce_Data!$AD$2:$AD$501,"&gt;0")</f>
        <v>2</v>
      </c>
      <c r="K29" s="5">
        <f>COUNTIFS(Workforce_Data!$D$2:$D$501,A29,Workforce_Data!$AD$2:$AD$501,"&lt;0")</f>
        <v>0</v>
      </c>
    </row>
    <row r="30" spans="1:11" x14ac:dyDescent="0.25">
      <c r="A30" t="s">
        <v>72</v>
      </c>
      <c r="B30" t="s">
        <v>73</v>
      </c>
      <c r="C30" s="5">
        <f>COUNTIF(Workforce_Data!$D$2:$D$501,A30)</f>
        <v>7</v>
      </c>
      <c r="D30" s="5">
        <f>IFERROR(AVERAGEIF(Workforce_Data!$D$2:$D$501,A30,Workforce_Data!$W$2:$W$501),0)</f>
        <v>97.285543133767121</v>
      </c>
      <c r="E30">
        <v>103.7993097838127</v>
      </c>
      <c r="F30" s="4">
        <f>IFERROR(AVERAGEIF(Workforce_Data!$D$2:$D$501,A30,Workforce_Data!$Z$2:$Z$501),0)</f>
        <v>0.86415856077697284</v>
      </c>
      <c r="G30" s="5">
        <f>IFERROR(AVERAGEIF(Workforce_Data!$D$2:$D$501,A30,Workforce_Data!$N$2:$N$501),0)</f>
        <v>18.571428571428573</v>
      </c>
      <c r="H30" s="5">
        <f>IFERROR(AVERAGEIF(Workforce_Data!$D$2:$D$501,A30,Workforce_Data!$AC$2:$AC$501),0)</f>
        <v>20.142857142857142</v>
      </c>
      <c r="I30" s="5">
        <f>IFERROR(AVERAGEIF(Workforce_Data!$D$2:$D$501,A30,Workforce_Data!$AD$2:$AD$501),0)</f>
        <v>1.5714285714285714</v>
      </c>
      <c r="J30" s="5">
        <f>COUNTIFS(Workforce_Data!$D$2:$D$501,A30,Workforce_Data!$AD$2:$AD$501,"&gt;0")</f>
        <v>6</v>
      </c>
      <c r="K30" s="5">
        <f>COUNTIFS(Workforce_Data!$D$2:$D$501,A30,Workforce_Data!$AD$2:$AD$501,"&lt;0")</f>
        <v>0</v>
      </c>
    </row>
    <row r="31" spans="1:11" x14ac:dyDescent="0.25">
      <c r="A31" t="s">
        <v>312</v>
      </c>
      <c r="B31" t="s">
        <v>313</v>
      </c>
      <c r="C31" s="5">
        <f>COUNTIF(Workforce_Data!$D$2:$D$501,A31)</f>
        <v>6</v>
      </c>
      <c r="D31" s="5">
        <f>IFERROR(AVERAGEIF(Workforce_Data!$D$2:$D$501,A31,Workforce_Data!$W$2:$W$501),0)</f>
        <v>87.001376912067016</v>
      </c>
      <c r="E31">
        <v>90.082828796483753</v>
      </c>
      <c r="F31" s="4">
        <f>IFERROR(AVERAGEIF(Workforce_Data!$D$2:$D$501,A31,Workforce_Data!$Z$2:$Z$501),0)</f>
        <v>0.74708925729351305</v>
      </c>
      <c r="G31" s="5">
        <f>IFERROR(AVERAGEIF(Workforce_Data!$D$2:$D$501,A31,Workforce_Data!$N$2:$N$501),0)</f>
        <v>20.333333333333332</v>
      </c>
      <c r="H31" s="5">
        <f>IFERROR(AVERAGEIF(Workforce_Data!$D$2:$D$501,A31,Workforce_Data!$AC$2:$AC$501),0)</f>
        <v>18.833333333333332</v>
      </c>
      <c r="I31" s="5">
        <f>IFERROR(AVERAGEIF(Workforce_Data!$D$2:$D$501,A31,Workforce_Data!$AD$2:$AD$501),0)</f>
        <v>-1.5</v>
      </c>
      <c r="J31" s="5">
        <f>COUNTIFS(Workforce_Data!$D$2:$D$501,A31,Workforce_Data!$AD$2:$AD$501,"&gt;0")</f>
        <v>0</v>
      </c>
      <c r="K31" s="5">
        <f>COUNTIFS(Workforce_Data!$D$2:$D$501,A31,Workforce_Data!$AD$2:$AD$501,"&lt;0")</f>
        <v>6</v>
      </c>
    </row>
    <row r="32" spans="1:11" x14ac:dyDescent="0.25">
      <c r="A32" t="s">
        <v>66</v>
      </c>
      <c r="B32" t="s">
        <v>67</v>
      </c>
      <c r="C32" s="5">
        <f>COUNTIF(Workforce_Data!$D$2:$D$501,A32)</f>
        <v>8</v>
      </c>
      <c r="D32" s="5">
        <f>IFERROR(AVERAGEIF(Workforce_Data!$D$2:$D$501,A32,Workforce_Data!$W$2:$W$501),0)</f>
        <v>85.346291154667497</v>
      </c>
      <c r="E32">
        <v>90.940250610947714</v>
      </c>
      <c r="F32" s="4">
        <f>IFERROR(AVERAGEIF(Workforce_Data!$D$2:$D$501,A32,Workforce_Data!$Z$2:$Z$501),0)</f>
        <v>0.75696816100049269</v>
      </c>
      <c r="G32" s="5">
        <f>IFERROR(AVERAGEIF(Workforce_Data!$D$2:$D$501,A32,Workforce_Data!$N$2:$N$501),0)</f>
        <v>18.5</v>
      </c>
      <c r="H32" s="5">
        <f>IFERROR(AVERAGEIF(Workforce_Data!$D$2:$D$501,A32,Workforce_Data!$AC$2:$AC$501),0)</f>
        <v>17.5</v>
      </c>
      <c r="I32" s="5">
        <f>IFERROR(AVERAGEIF(Workforce_Data!$D$2:$D$501,A32,Workforce_Data!$AD$2:$AD$501),0)</f>
        <v>-1</v>
      </c>
      <c r="J32" s="5">
        <f>COUNTIFS(Workforce_Data!$D$2:$D$501,A32,Workforce_Data!$AD$2:$AD$501,"&gt;0")</f>
        <v>0</v>
      </c>
      <c r="K32" s="5">
        <f>COUNTIFS(Workforce_Data!$D$2:$D$501,A32,Workforce_Data!$AD$2:$AD$501,"&lt;0")</f>
        <v>5</v>
      </c>
    </row>
    <row r="33" spans="1:11" x14ac:dyDescent="0.25">
      <c r="A33" t="s">
        <v>303</v>
      </c>
      <c r="B33" t="s">
        <v>304</v>
      </c>
      <c r="C33" s="5">
        <f>COUNTIF(Workforce_Data!$D$2:$D$501,A33)</f>
        <v>6</v>
      </c>
      <c r="D33" s="5">
        <f>IFERROR(AVERAGEIF(Workforce_Data!$D$2:$D$501,A33,Workforce_Data!$W$2:$W$501),0)</f>
        <v>112.85721769816628</v>
      </c>
      <c r="E33">
        <v>122.94084350295491</v>
      </c>
      <c r="F33" s="4">
        <f>IFERROR(AVERAGEIF(Workforce_Data!$D$2:$D$501,A33,Workforce_Data!$Z$2:$Z$501),0)</f>
        <v>1.0025732613454741</v>
      </c>
      <c r="G33" s="5">
        <f>IFERROR(AVERAGEIF(Workforce_Data!$D$2:$D$501,A33,Workforce_Data!$N$2:$N$501),0)</f>
        <v>19.666666666666668</v>
      </c>
      <c r="H33" s="5">
        <f>IFERROR(AVERAGEIF(Workforce_Data!$D$2:$D$501,A33,Workforce_Data!$AC$2:$AC$501),0)</f>
        <v>23.166666666666668</v>
      </c>
      <c r="I33" s="5">
        <f>IFERROR(AVERAGEIF(Workforce_Data!$D$2:$D$501,A33,Workforce_Data!$AD$2:$AD$501),0)</f>
        <v>3.5</v>
      </c>
      <c r="J33" s="5">
        <f>COUNTIFS(Workforce_Data!$D$2:$D$501,A33,Workforce_Data!$AD$2:$AD$501,"&gt;0")</f>
        <v>6</v>
      </c>
      <c r="K33" s="5">
        <f>COUNTIFS(Workforce_Data!$D$2:$D$501,A33,Workforce_Data!$AD$2:$AD$501,"&lt;0")</f>
        <v>0</v>
      </c>
    </row>
    <row r="34" spans="1:11" x14ac:dyDescent="0.25">
      <c r="A34" t="s">
        <v>77</v>
      </c>
      <c r="B34" t="s">
        <v>78</v>
      </c>
      <c r="C34" s="5">
        <f>COUNTIF(Workforce_Data!$D$2:$D$501,A34)</f>
        <v>8</v>
      </c>
      <c r="D34" s="5">
        <f>IFERROR(AVERAGEIF(Workforce_Data!$D$2:$D$501,A34,Workforce_Data!$W$2:$W$501),0)</f>
        <v>115.68327016770154</v>
      </c>
      <c r="E34">
        <v>123.6964491024989</v>
      </c>
      <c r="F34" s="4">
        <f>IFERROR(AVERAGEIF(Workforce_Data!$D$2:$D$501,A34,Workforce_Data!$Z$2:$Z$501),0)</f>
        <v>0.97451198149913942</v>
      </c>
      <c r="G34" s="5">
        <f>IFERROR(AVERAGEIF(Workforce_Data!$D$2:$D$501,A34,Workforce_Data!$N$2:$N$501),0)</f>
        <v>22.75</v>
      </c>
      <c r="H34" s="5">
        <f>IFERROR(AVERAGEIF(Workforce_Data!$D$2:$D$501,A34,Workforce_Data!$AC$2:$AC$501),0)</f>
        <v>27.125</v>
      </c>
      <c r="I34" s="5">
        <f>IFERROR(AVERAGEIF(Workforce_Data!$D$2:$D$501,A34,Workforce_Data!$AD$2:$AD$501),0)</f>
        <v>4.375</v>
      </c>
      <c r="J34" s="5">
        <f>COUNTIFS(Workforce_Data!$D$2:$D$501,A34,Workforce_Data!$AD$2:$AD$501,"&gt;0")</f>
        <v>8</v>
      </c>
      <c r="K34" s="5">
        <f>COUNTIFS(Workforce_Data!$D$2:$D$501,A34,Workforce_Data!$AD$2:$AD$501,"&lt;0")</f>
        <v>0</v>
      </c>
    </row>
    <row r="35" spans="1:11" x14ac:dyDescent="0.25">
      <c r="A35" t="s">
        <v>528</v>
      </c>
      <c r="B35" t="s">
        <v>529</v>
      </c>
      <c r="C35" s="5">
        <f>COUNTIF(Workforce_Data!$D$2:$D$501,A35)</f>
        <v>2</v>
      </c>
      <c r="D35" s="5">
        <f>IFERROR(AVERAGEIF(Workforce_Data!$D$2:$D$501,A35,Workforce_Data!$W$2:$W$501),0)</f>
        <v>132.33850042262236</v>
      </c>
      <c r="E35">
        <v>132.5773853371299</v>
      </c>
      <c r="F35" s="4">
        <f>IFERROR(AVERAGEIF(Workforce_Data!$D$2:$D$501,A35,Workforce_Data!$Z$2:$Z$501),0)</f>
        <v>1.0638532307692041</v>
      </c>
      <c r="G35" s="5">
        <f>IFERROR(AVERAGEIF(Workforce_Data!$D$2:$D$501,A35,Workforce_Data!$N$2:$N$501),0)</f>
        <v>25.5</v>
      </c>
      <c r="H35" s="5">
        <f>IFERROR(AVERAGEIF(Workforce_Data!$D$2:$D$501,A35,Workforce_Data!$AC$2:$AC$501),0)</f>
        <v>30.5</v>
      </c>
      <c r="I35" s="5">
        <f>IFERROR(AVERAGEIF(Workforce_Data!$D$2:$D$501,A35,Workforce_Data!$AD$2:$AD$501),0)</f>
        <v>5</v>
      </c>
      <c r="J35" s="5">
        <f>COUNTIFS(Workforce_Data!$D$2:$D$501,A35,Workforce_Data!$AD$2:$AD$501,"&gt;0")</f>
        <v>2</v>
      </c>
      <c r="K35" s="5">
        <f>COUNTIFS(Workforce_Data!$D$2:$D$501,A35,Workforce_Data!$AD$2:$AD$501,"&lt;0")</f>
        <v>0</v>
      </c>
    </row>
    <row r="36" spans="1:11" x14ac:dyDescent="0.25">
      <c r="A36" t="s">
        <v>62</v>
      </c>
      <c r="B36" t="s">
        <v>63</v>
      </c>
      <c r="C36" s="5">
        <f>COUNTIF(Workforce_Data!$D$2:$D$501,A36)</f>
        <v>8</v>
      </c>
      <c r="D36" s="5">
        <f>IFERROR(AVERAGEIF(Workforce_Data!$D$2:$D$501,A36,Workforce_Data!$W$2:$W$501),0)</f>
        <v>113.14894749219374</v>
      </c>
      <c r="E36">
        <v>117.7741280458672</v>
      </c>
      <c r="F36" s="4">
        <f>IFERROR(AVERAGEIF(Workforce_Data!$D$2:$D$501,A36,Workforce_Data!$Z$2:$Z$501),0)</f>
        <v>1.0044123771301841</v>
      </c>
      <c r="G36" s="5">
        <f>IFERROR(AVERAGEIF(Workforce_Data!$D$2:$D$501,A36,Workforce_Data!$N$2:$N$501),0)</f>
        <v>16.375</v>
      </c>
      <c r="H36" s="5">
        <f>IFERROR(AVERAGEIF(Workforce_Data!$D$2:$D$501,A36,Workforce_Data!$AC$2:$AC$501),0)</f>
        <v>19.875</v>
      </c>
      <c r="I36" s="5">
        <f>IFERROR(AVERAGEIF(Workforce_Data!$D$2:$D$501,A36,Workforce_Data!$AD$2:$AD$501),0)</f>
        <v>3.5</v>
      </c>
      <c r="J36" s="5">
        <f>COUNTIFS(Workforce_Data!$D$2:$D$501,A36,Workforce_Data!$AD$2:$AD$501,"&gt;0")</f>
        <v>8</v>
      </c>
      <c r="K36" s="5">
        <f>COUNTIFS(Workforce_Data!$D$2:$D$501,A36,Workforce_Data!$AD$2:$AD$501,"&lt;0")</f>
        <v>0</v>
      </c>
    </row>
    <row r="37" spans="1:11" x14ac:dyDescent="0.25">
      <c r="A37" t="s">
        <v>204</v>
      </c>
      <c r="B37" t="s">
        <v>205</v>
      </c>
      <c r="C37" s="5">
        <f>COUNTIF(Workforce_Data!$D$2:$D$501,A37)</f>
        <v>6</v>
      </c>
      <c r="D37" s="5">
        <f>IFERROR(AVERAGEIF(Workforce_Data!$D$2:$D$501,A37,Workforce_Data!$W$2:$W$501),0)</f>
        <v>108.34307431438475</v>
      </c>
      <c r="E37">
        <v>116.0579491430555</v>
      </c>
      <c r="F37" s="4">
        <f>IFERROR(AVERAGEIF(Workforce_Data!$D$2:$D$501,A37,Workforce_Data!$Z$2:$Z$501),0)</f>
        <v>0.91541834708208059</v>
      </c>
      <c r="G37" s="5">
        <f>IFERROR(AVERAGEIF(Workforce_Data!$D$2:$D$501,A37,Workforce_Data!$N$2:$N$501),0)</f>
        <v>19.833333333333332</v>
      </c>
      <c r="H37" s="5">
        <f>IFERROR(AVERAGEIF(Workforce_Data!$D$2:$D$501,A37,Workforce_Data!$AC$2:$AC$501),0)</f>
        <v>23.666666666666668</v>
      </c>
      <c r="I37" s="5">
        <f>IFERROR(AVERAGEIF(Workforce_Data!$D$2:$D$501,A37,Workforce_Data!$AD$2:$AD$501),0)</f>
        <v>3.8333333333333335</v>
      </c>
      <c r="J37" s="5">
        <f>COUNTIFS(Workforce_Data!$D$2:$D$501,A37,Workforce_Data!$AD$2:$AD$501,"&gt;0")</f>
        <v>6</v>
      </c>
      <c r="K37" s="5">
        <f>COUNTIFS(Workforce_Data!$D$2:$D$501,A37,Workforce_Data!$AD$2:$AD$501,"&lt;0")</f>
        <v>0</v>
      </c>
    </row>
    <row r="38" spans="1:11" x14ac:dyDescent="0.25">
      <c r="A38" t="s">
        <v>160</v>
      </c>
      <c r="B38" t="s">
        <v>161</v>
      </c>
      <c r="C38" s="5">
        <f>COUNTIF(Workforce_Data!$D$2:$D$501,A38)</f>
        <v>7</v>
      </c>
      <c r="D38" s="5">
        <f>IFERROR(AVERAGEIF(Workforce_Data!$D$2:$D$501,A38,Workforce_Data!$W$2:$W$501),0)</f>
        <v>113.27932296132268</v>
      </c>
      <c r="E38">
        <v>121.9944934101466</v>
      </c>
      <c r="F38" s="4">
        <f>IFERROR(AVERAGEIF(Workforce_Data!$D$2:$D$501,A38,Workforce_Data!$Z$2:$Z$501),0)</f>
        <v>0.9797765384098539</v>
      </c>
      <c r="G38" s="5">
        <f>IFERROR(AVERAGEIF(Workforce_Data!$D$2:$D$501,A38,Workforce_Data!$N$2:$N$501),0)</f>
        <v>19.428571428571427</v>
      </c>
      <c r="H38" s="5">
        <f>IFERROR(AVERAGEIF(Workforce_Data!$D$2:$D$501,A38,Workforce_Data!$AC$2:$AC$501),0)</f>
        <v>23</v>
      </c>
      <c r="I38" s="5">
        <f>IFERROR(AVERAGEIF(Workforce_Data!$D$2:$D$501,A38,Workforce_Data!$AD$2:$AD$501),0)</f>
        <v>3.5714285714285716</v>
      </c>
      <c r="J38" s="5">
        <f>COUNTIFS(Workforce_Data!$D$2:$D$501,A38,Workforce_Data!$AD$2:$AD$501,"&gt;0")</f>
        <v>7</v>
      </c>
      <c r="K38" s="5">
        <f>COUNTIFS(Workforce_Data!$D$2:$D$501,A38,Workforce_Data!$AD$2:$AD$501,"&lt;0")</f>
        <v>0</v>
      </c>
    </row>
    <row r="39" spans="1:11" x14ac:dyDescent="0.25">
      <c r="A39" t="s">
        <v>1033</v>
      </c>
      <c r="B39" t="s">
        <v>1034</v>
      </c>
      <c r="C39" s="5">
        <f>COUNTIF(Workforce_Data!$D$2:$D$501,A39)</f>
        <v>2</v>
      </c>
      <c r="D39" s="5">
        <f>IFERROR(AVERAGEIF(Workforce_Data!$D$2:$D$501,A39,Workforce_Data!$W$2:$W$501),0)</f>
        <v>131.81796358956501</v>
      </c>
      <c r="E39">
        <v>132.24007799165051</v>
      </c>
      <c r="F39" s="4">
        <f>IFERROR(AVERAGEIF(Workforce_Data!$D$2:$D$501,A39,Workforce_Data!$Z$2:$Z$501),0)</f>
        <v>1.13570836325619</v>
      </c>
      <c r="G39" s="5">
        <f>IFERROR(AVERAGEIF(Workforce_Data!$D$2:$D$501,A39,Workforce_Data!$N$2:$N$501),0)</f>
        <v>21</v>
      </c>
      <c r="H39" s="5">
        <f>IFERROR(AVERAGEIF(Workforce_Data!$D$2:$D$501,A39,Workforce_Data!$AC$2:$AC$501),0)</f>
        <v>26</v>
      </c>
      <c r="I39" s="5">
        <f>IFERROR(AVERAGEIF(Workforce_Data!$D$2:$D$501,A39,Workforce_Data!$AD$2:$AD$501),0)</f>
        <v>5</v>
      </c>
      <c r="J39" s="5">
        <f>COUNTIFS(Workforce_Data!$D$2:$D$501,A39,Workforce_Data!$AD$2:$AD$501,"&gt;0")</f>
        <v>2</v>
      </c>
      <c r="K39" s="5">
        <f>COUNTIFS(Workforce_Data!$D$2:$D$501,A39,Workforce_Data!$AD$2:$AD$501,"&lt;0")</f>
        <v>0</v>
      </c>
    </row>
    <row r="40" spans="1:11" x14ac:dyDescent="0.25">
      <c r="A40" t="s">
        <v>40</v>
      </c>
      <c r="B40" t="s">
        <v>41</v>
      </c>
      <c r="C40" s="5">
        <f>COUNTIF(Workforce_Data!$D$2:$D$501,A40)</f>
        <v>4</v>
      </c>
      <c r="D40" s="5">
        <f>IFERROR(AVERAGEIF(Workforce_Data!$D$2:$D$501,A40,Workforce_Data!$W$2:$W$501),0)</f>
        <v>117.75544510646488</v>
      </c>
      <c r="E40">
        <v>118.9524380763238</v>
      </c>
      <c r="F40" s="4">
        <f>IFERROR(AVERAGEIF(Workforce_Data!$D$2:$D$501,A40,Workforce_Data!$Z$2:$Z$501),0)</f>
        <v>0.9764573797574353</v>
      </c>
      <c r="G40" s="5">
        <f>IFERROR(AVERAGEIF(Workforce_Data!$D$2:$D$501,A40,Workforce_Data!$N$2:$N$501),0)</f>
        <v>22</v>
      </c>
      <c r="H40" s="5">
        <f>IFERROR(AVERAGEIF(Workforce_Data!$D$2:$D$501,A40,Workforce_Data!$AC$2:$AC$501),0)</f>
        <v>27</v>
      </c>
      <c r="I40" s="5">
        <f>IFERROR(AVERAGEIF(Workforce_Data!$D$2:$D$501,A40,Workforce_Data!$AD$2:$AD$501),0)</f>
        <v>5</v>
      </c>
      <c r="J40" s="5">
        <f>COUNTIFS(Workforce_Data!$D$2:$D$501,A40,Workforce_Data!$AD$2:$AD$501,"&gt;0")</f>
        <v>4</v>
      </c>
      <c r="K40" s="5">
        <f>COUNTIFS(Workforce_Data!$D$2:$D$501,A40,Workforce_Data!$AD$2:$AD$501,"&lt;0")</f>
        <v>0</v>
      </c>
    </row>
    <row r="41" spans="1:11" x14ac:dyDescent="0.25">
      <c r="A41" t="s">
        <v>261</v>
      </c>
      <c r="B41" t="s">
        <v>262</v>
      </c>
      <c r="C41" s="5">
        <f>COUNTIF(Workforce_Data!$D$2:$D$501,A41)</f>
        <v>3</v>
      </c>
      <c r="D41" s="5">
        <f>IFERROR(AVERAGEIF(Workforce_Data!$D$2:$D$501,A41,Workforce_Data!$W$2:$W$501),0)</f>
        <v>125.58205210927304</v>
      </c>
      <c r="E41">
        <v>130.87929004554499</v>
      </c>
      <c r="F41" s="4">
        <f>IFERROR(AVERAGEIF(Workforce_Data!$D$2:$D$501,A41,Workforce_Data!$Z$2:$Z$501),0)</f>
        <v>1.0254223808734158</v>
      </c>
      <c r="G41" s="5">
        <f>IFERROR(AVERAGEIF(Workforce_Data!$D$2:$D$501,A41,Workforce_Data!$N$2:$N$501),0)</f>
        <v>21.333333333333332</v>
      </c>
      <c r="H41" s="5">
        <f>IFERROR(AVERAGEIF(Workforce_Data!$D$2:$D$501,A41,Workforce_Data!$AC$2:$AC$501),0)</f>
        <v>25.666666666666668</v>
      </c>
      <c r="I41" s="5">
        <f>IFERROR(AVERAGEIF(Workforce_Data!$D$2:$D$501,A41,Workforce_Data!$AD$2:$AD$501),0)</f>
        <v>4.333333333333333</v>
      </c>
      <c r="J41" s="5">
        <f>COUNTIFS(Workforce_Data!$D$2:$D$501,A41,Workforce_Data!$AD$2:$AD$501,"&gt;0")</f>
        <v>3</v>
      </c>
      <c r="K41" s="5">
        <f>COUNTIFS(Workforce_Data!$D$2:$D$501,A41,Workforce_Data!$AD$2:$AD$501,"&lt;0")</f>
        <v>0</v>
      </c>
    </row>
    <row r="42" spans="1:11" x14ac:dyDescent="0.25">
      <c r="A42" t="s">
        <v>99</v>
      </c>
      <c r="B42" t="s">
        <v>100</v>
      </c>
      <c r="C42" s="5">
        <f>COUNTIF(Workforce_Data!$D$2:$D$501,A42)</f>
        <v>4</v>
      </c>
      <c r="D42" s="5">
        <f>IFERROR(AVERAGEIF(Workforce_Data!$D$2:$D$501,A42,Workforce_Data!$W$2:$W$501),0)</f>
        <v>79.016524915204343</v>
      </c>
      <c r="E42">
        <v>82.657435254803673</v>
      </c>
      <c r="F42" s="4">
        <f>IFERROR(AVERAGEIF(Workforce_Data!$D$2:$D$501,A42,Workforce_Data!$Z$2:$Z$501),0)</f>
        <v>0.70401046025706049</v>
      </c>
      <c r="G42" s="5">
        <f>IFERROR(AVERAGEIF(Workforce_Data!$D$2:$D$501,A42,Workforce_Data!$N$2:$N$501),0)</f>
        <v>17.75</v>
      </c>
      <c r="H42" s="5">
        <f>IFERROR(AVERAGEIF(Workforce_Data!$D$2:$D$501,A42,Workforce_Data!$AC$2:$AC$501),0)</f>
        <v>15.5</v>
      </c>
      <c r="I42" s="5">
        <f>IFERROR(AVERAGEIF(Workforce_Data!$D$2:$D$501,A42,Workforce_Data!$AD$2:$AD$501),0)</f>
        <v>-2.25</v>
      </c>
      <c r="J42" s="5">
        <f>COUNTIFS(Workforce_Data!$D$2:$D$501,A42,Workforce_Data!$AD$2:$AD$501,"&gt;0")</f>
        <v>0</v>
      </c>
      <c r="K42" s="5">
        <f>COUNTIFS(Workforce_Data!$D$2:$D$501,A42,Workforce_Data!$AD$2:$AD$501,"&lt;0")</f>
        <v>4</v>
      </c>
    </row>
    <row r="43" spans="1:11" x14ac:dyDescent="0.25">
      <c r="A43" t="s">
        <v>352</v>
      </c>
      <c r="B43" t="s">
        <v>157</v>
      </c>
      <c r="C43" s="5">
        <f>COUNTIF(Workforce_Data!$D$2:$D$501,A43)</f>
        <v>3</v>
      </c>
      <c r="D43" s="5">
        <f>IFERROR(AVERAGEIF(Workforce_Data!$D$2:$D$501,A43,Workforce_Data!$W$2:$W$501),0)</f>
        <v>105.68323991340795</v>
      </c>
      <c r="E43">
        <v>110.81939470532259</v>
      </c>
      <c r="F43" s="4">
        <f>IFERROR(AVERAGEIF(Workforce_Data!$D$2:$D$501,A43,Workforce_Data!$Z$2:$Z$501),0)</f>
        <v>0.99697316929968449</v>
      </c>
      <c r="G43" s="5">
        <f>IFERROR(AVERAGEIF(Workforce_Data!$D$2:$D$501,A43,Workforce_Data!$N$2:$N$501),0)</f>
        <v>17</v>
      </c>
      <c r="H43" s="5">
        <f>IFERROR(AVERAGEIF(Workforce_Data!$D$2:$D$501,A43,Workforce_Data!$AC$2:$AC$501),0)</f>
        <v>20</v>
      </c>
      <c r="I43" s="5">
        <f>IFERROR(AVERAGEIF(Workforce_Data!$D$2:$D$501,A43,Workforce_Data!$AD$2:$AD$501),0)</f>
        <v>3</v>
      </c>
      <c r="J43" s="5">
        <f>COUNTIFS(Workforce_Data!$D$2:$D$501,A43,Workforce_Data!$AD$2:$AD$501,"&gt;0")</f>
        <v>3</v>
      </c>
      <c r="K43" s="5">
        <f>COUNTIFS(Workforce_Data!$D$2:$D$501,A43,Workforce_Data!$AD$2:$AD$501,"&lt;0")</f>
        <v>0</v>
      </c>
    </row>
    <row r="44" spans="1:11" x14ac:dyDescent="0.25">
      <c r="A44" t="s">
        <v>156</v>
      </c>
      <c r="B44" t="s">
        <v>157</v>
      </c>
      <c r="C44" s="5">
        <f>COUNTIF(Workforce_Data!$D$2:$D$501,A44)</f>
        <v>3</v>
      </c>
      <c r="D44" s="5">
        <f>IFERROR(AVERAGEIF(Workforce_Data!$D$2:$D$501,A44,Workforce_Data!$W$2:$W$501),0)</f>
        <v>106.078078541902</v>
      </c>
      <c r="E44">
        <v>114.5482886989289</v>
      </c>
      <c r="F44" s="4">
        <f>IFERROR(AVERAGEIF(Workforce_Data!$D$2:$D$501,A44,Workforce_Data!$Z$2:$Z$501),0)</f>
        <v>0.92373901446543594</v>
      </c>
      <c r="G44" s="5">
        <f>IFERROR(AVERAGEIF(Workforce_Data!$D$2:$D$501,A44,Workforce_Data!$N$2:$N$501),0)</f>
        <v>19.333333333333332</v>
      </c>
      <c r="H44" s="5">
        <f>IFERROR(AVERAGEIF(Workforce_Data!$D$2:$D$501,A44,Workforce_Data!$AC$2:$AC$501),0)</f>
        <v>22.666666666666668</v>
      </c>
      <c r="I44" s="5">
        <f>IFERROR(AVERAGEIF(Workforce_Data!$D$2:$D$501,A44,Workforce_Data!$AD$2:$AD$501),0)</f>
        <v>3.3333333333333335</v>
      </c>
      <c r="J44" s="5">
        <f>COUNTIFS(Workforce_Data!$D$2:$D$501,A44,Workforce_Data!$AD$2:$AD$501,"&gt;0")</f>
        <v>3</v>
      </c>
      <c r="K44" s="5">
        <f>COUNTIFS(Workforce_Data!$D$2:$D$501,A44,Workforce_Data!$AD$2:$AD$501,"&lt;0")</f>
        <v>0</v>
      </c>
    </row>
    <row r="45" spans="1:11" x14ac:dyDescent="0.25">
      <c r="A45" t="s">
        <v>254</v>
      </c>
      <c r="B45" t="s">
        <v>157</v>
      </c>
      <c r="C45" s="5">
        <f>COUNTIF(Workforce_Data!$D$2:$D$501,A45)</f>
        <v>5</v>
      </c>
      <c r="D45" s="5">
        <f>IFERROR(AVERAGEIF(Workforce_Data!$D$2:$D$501,A45,Workforce_Data!$W$2:$W$501),0)</f>
        <v>109.66702711435343</v>
      </c>
      <c r="E45">
        <v>113.6422136422136</v>
      </c>
      <c r="F45" s="4">
        <f>IFERROR(AVERAGEIF(Workforce_Data!$D$2:$D$501,A45,Workforce_Data!$Z$2:$Z$501),0)</f>
        <v>0.92491067084476986</v>
      </c>
      <c r="G45" s="5">
        <f>IFERROR(AVERAGEIF(Workforce_Data!$D$2:$D$501,A45,Workforce_Data!$N$2:$N$501),0)</f>
        <v>22.6</v>
      </c>
      <c r="H45" s="5">
        <f>IFERROR(AVERAGEIF(Workforce_Data!$D$2:$D$501,A45,Workforce_Data!$AC$2:$AC$501),0)</f>
        <v>25.6</v>
      </c>
      <c r="I45" s="5">
        <f>IFERROR(AVERAGEIF(Workforce_Data!$D$2:$D$501,A45,Workforce_Data!$AD$2:$AD$501),0)</f>
        <v>3</v>
      </c>
      <c r="J45" s="5">
        <f>COUNTIFS(Workforce_Data!$D$2:$D$501,A45,Workforce_Data!$AD$2:$AD$501,"&gt;0")</f>
        <v>5</v>
      </c>
      <c r="K45" s="5">
        <f>COUNTIFS(Workforce_Data!$D$2:$D$501,A45,Workforce_Data!$AD$2:$AD$501,"&lt;0")</f>
        <v>0</v>
      </c>
    </row>
    <row r="46" spans="1:11" x14ac:dyDescent="0.25">
      <c r="A46" t="s">
        <v>228</v>
      </c>
      <c r="B46" t="s">
        <v>229</v>
      </c>
      <c r="C46" s="5">
        <f>COUNTIF(Workforce_Data!$D$2:$D$501,A46)</f>
        <v>4</v>
      </c>
      <c r="D46" s="5">
        <f>IFERROR(AVERAGEIF(Workforce_Data!$D$2:$D$501,A46,Workforce_Data!$W$2:$W$501),0)</f>
        <v>111.18412163650612</v>
      </c>
      <c r="E46">
        <v>116.3136872804258</v>
      </c>
      <c r="F46" s="4">
        <f>IFERROR(AVERAGEIF(Workforce_Data!$D$2:$D$501,A46,Workforce_Data!$Z$2:$Z$501),0)</f>
        <v>0.91587111352620032</v>
      </c>
      <c r="G46" s="5">
        <f>IFERROR(AVERAGEIF(Workforce_Data!$D$2:$D$501,A46,Workforce_Data!$N$2:$N$501),0)</f>
        <v>24.25</v>
      </c>
      <c r="H46" s="5">
        <f>IFERROR(AVERAGEIF(Workforce_Data!$D$2:$D$501,A46,Workforce_Data!$AC$2:$AC$501),0)</f>
        <v>27</v>
      </c>
      <c r="I46" s="5">
        <f>IFERROR(AVERAGEIF(Workforce_Data!$D$2:$D$501,A46,Workforce_Data!$AD$2:$AD$501),0)</f>
        <v>2.75</v>
      </c>
      <c r="J46" s="5">
        <f>COUNTIFS(Workforce_Data!$D$2:$D$501,A46,Workforce_Data!$AD$2:$AD$501,"&gt;0")</f>
        <v>4</v>
      </c>
      <c r="K46" s="5">
        <f>COUNTIFS(Workforce_Data!$D$2:$D$501,A46,Workforce_Data!$AD$2:$AD$501,"&lt;0")</f>
        <v>0</v>
      </c>
    </row>
    <row r="47" spans="1:11" x14ac:dyDescent="0.25">
      <c r="A47" t="s">
        <v>599</v>
      </c>
      <c r="B47" t="s">
        <v>600</v>
      </c>
      <c r="C47" s="5">
        <f>COUNTIF(Workforce_Data!$D$2:$D$501,A47)</f>
        <v>3</v>
      </c>
      <c r="D47" s="5">
        <f>IFERROR(AVERAGEIF(Workforce_Data!$D$2:$D$501,A47,Workforce_Data!$W$2:$W$501),0)</f>
        <v>117.9340957855451</v>
      </c>
      <c r="E47">
        <v>123.84644020183499</v>
      </c>
      <c r="F47" s="4">
        <f>IFERROR(AVERAGEIF(Workforce_Data!$D$2:$D$501,A47,Workforce_Data!$Z$2:$Z$501),0)</f>
        <v>0.99932895450535719</v>
      </c>
      <c r="G47" s="5">
        <f>IFERROR(AVERAGEIF(Workforce_Data!$D$2:$D$501,A47,Workforce_Data!$N$2:$N$501),0)</f>
        <v>23.333333333333332</v>
      </c>
      <c r="H47" s="5">
        <f>IFERROR(AVERAGEIF(Workforce_Data!$D$2:$D$501,A47,Workforce_Data!$AC$2:$AC$501),0)</f>
        <v>26.333333333333332</v>
      </c>
      <c r="I47" s="5">
        <f>IFERROR(AVERAGEIF(Workforce_Data!$D$2:$D$501,A47,Workforce_Data!$AD$2:$AD$501),0)</f>
        <v>3</v>
      </c>
      <c r="J47" s="5">
        <f>COUNTIFS(Workforce_Data!$D$2:$D$501,A47,Workforce_Data!$AD$2:$AD$501,"&gt;0")</f>
        <v>3</v>
      </c>
      <c r="K47" s="5">
        <f>COUNTIFS(Workforce_Data!$D$2:$D$501,A47,Workforce_Data!$AD$2:$AD$501,"&lt;0")</f>
        <v>0</v>
      </c>
    </row>
    <row r="48" spans="1:11" x14ac:dyDescent="0.25">
      <c r="A48" t="s">
        <v>516</v>
      </c>
      <c r="B48" t="s">
        <v>517</v>
      </c>
      <c r="C48" s="5">
        <f>COUNTIF(Workforce_Data!$D$2:$D$501,A48)</f>
        <v>9</v>
      </c>
      <c r="D48" s="5">
        <f>IFERROR(AVERAGEIF(Workforce_Data!$D$2:$D$501,A48,Workforce_Data!$W$2:$W$501),0)</f>
        <v>110.58454430085663</v>
      </c>
      <c r="E48">
        <v>122.09126253325149</v>
      </c>
      <c r="F48" s="4">
        <f>IFERROR(AVERAGEIF(Workforce_Data!$D$2:$D$501,A48,Workforce_Data!$Z$2:$Z$501),0)</f>
        <v>0.96047117643974311</v>
      </c>
      <c r="G48" s="5">
        <f>IFERROR(AVERAGEIF(Workforce_Data!$D$2:$D$501,A48,Workforce_Data!$N$2:$N$501),0)</f>
        <v>20.333333333333332</v>
      </c>
      <c r="H48" s="5">
        <f>IFERROR(AVERAGEIF(Workforce_Data!$D$2:$D$501,A48,Workforce_Data!$AC$2:$AC$501),0)</f>
        <v>23.555555555555557</v>
      </c>
      <c r="I48" s="5">
        <f>IFERROR(AVERAGEIF(Workforce_Data!$D$2:$D$501,A48,Workforce_Data!$AD$2:$AD$501),0)</f>
        <v>3.2222222222222223</v>
      </c>
      <c r="J48" s="5">
        <f>COUNTIFS(Workforce_Data!$D$2:$D$501,A48,Workforce_Data!$AD$2:$AD$501,"&gt;0")</f>
        <v>9</v>
      </c>
      <c r="K48" s="5">
        <f>COUNTIFS(Workforce_Data!$D$2:$D$501,A48,Workforce_Data!$AD$2:$AD$501,"&lt;0")</f>
        <v>0</v>
      </c>
    </row>
    <row r="49" spans="1:11" x14ac:dyDescent="0.25">
      <c r="A49" t="s">
        <v>440</v>
      </c>
      <c r="B49" t="s">
        <v>441</v>
      </c>
      <c r="C49" s="5">
        <f>COUNTIF(Workforce_Data!$D$2:$D$501,A49)</f>
        <v>4</v>
      </c>
      <c r="D49" s="5">
        <f>IFERROR(AVERAGEIF(Workforce_Data!$D$2:$D$501,A49,Workforce_Data!$W$2:$W$501),0)</f>
        <v>104.10841507119088</v>
      </c>
      <c r="E49">
        <v>108.9042383771843</v>
      </c>
      <c r="F49" s="4">
        <f>IFERROR(AVERAGEIF(Workforce_Data!$D$2:$D$501,A49,Workforce_Data!$Z$2:$Z$501),0)</f>
        <v>0.88273486149883973</v>
      </c>
      <c r="G49" s="5">
        <f>IFERROR(AVERAGEIF(Workforce_Data!$D$2:$D$501,A49,Workforce_Data!$N$2:$N$501),0)</f>
        <v>21.25</v>
      </c>
      <c r="H49" s="5">
        <f>IFERROR(AVERAGEIF(Workforce_Data!$D$2:$D$501,A49,Workforce_Data!$AC$2:$AC$501),0)</f>
        <v>23.75</v>
      </c>
      <c r="I49" s="5">
        <f>IFERROR(AVERAGEIF(Workforce_Data!$D$2:$D$501,A49,Workforce_Data!$AD$2:$AD$501),0)</f>
        <v>2.5</v>
      </c>
      <c r="J49" s="5">
        <f>COUNTIFS(Workforce_Data!$D$2:$D$501,A49,Workforce_Data!$AD$2:$AD$501,"&gt;0")</f>
        <v>4</v>
      </c>
      <c r="K49" s="5">
        <f>COUNTIFS(Workforce_Data!$D$2:$D$501,A49,Workforce_Data!$AD$2:$AD$501,"&lt;0")</f>
        <v>0</v>
      </c>
    </row>
    <row r="50" spans="1:11" x14ac:dyDescent="0.25">
      <c r="A50" t="s">
        <v>111</v>
      </c>
      <c r="B50" t="s">
        <v>112</v>
      </c>
      <c r="C50" s="5">
        <f>COUNTIF(Workforce_Data!$D$2:$D$501,A50)</f>
        <v>7</v>
      </c>
      <c r="D50" s="5">
        <f>IFERROR(AVERAGEIF(Workforce_Data!$D$2:$D$501,A50,Workforce_Data!$W$2:$W$501),0)</f>
        <v>112.76803515975107</v>
      </c>
      <c r="E50">
        <v>119.7323477143192</v>
      </c>
      <c r="F50" s="4">
        <f>IFERROR(AVERAGEIF(Workforce_Data!$D$2:$D$501,A50,Workforce_Data!$Z$2:$Z$501),0)</f>
        <v>0.94435171827948117</v>
      </c>
      <c r="G50" s="5">
        <f>IFERROR(AVERAGEIF(Workforce_Data!$D$2:$D$501,A50,Workforce_Data!$N$2:$N$501),0)</f>
        <v>22.428571428571427</v>
      </c>
      <c r="H50" s="5">
        <f>IFERROR(AVERAGEIF(Workforce_Data!$D$2:$D$501,A50,Workforce_Data!$AC$2:$AC$501),0)</f>
        <v>24.571428571428573</v>
      </c>
      <c r="I50" s="5">
        <f>IFERROR(AVERAGEIF(Workforce_Data!$D$2:$D$501,A50,Workforce_Data!$AD$2:$AD$501),0)</f>
        <v>2.1428571428571428</v>
      </c>
      <c r="J50" s="5">
        <f>COUNTIFS(Workforce_Data!$D$2:$D$501,A50,Workforce_Data!$AD$2:$AD$501,"&gt;0")</f>
        <v>6</v>
      </c>
      <c r="K50" s="5">
        <f>COUNTIFS(Workforce_Data!$D$2:$D$501,A50,Workforce_Data!$AD$2:$AD$501,"&lt;0")</f>
        <v>0</v>
      </c>
    </row>
    <row r="51" spans="1:11" x14ac:dyDescent="0.25">
      <c r="A51" t="s">
        <v>827</v>
      </c>
      <c r="B51" t="s">
        <v>828</v>
      </c>
      <c r="C51" s="5">
        <f>COUNTIF(Workforce_Data!$D$2:$D$501,A51)</f>
        <v>1</v>
      </c>
      <c r="D51" s="5">
        <f>IFERROR(AVERAGEIF(Workforce_Data!$D$2:$D$501,A51,Workforce_Data!$W$2:$W$501),0)</f>
        <v>85.994772741760684</v>
      </c>
      <c r="E51">
        <v>85.994772741760684</v>
      </c>
      <c r="F51" s="4">
        <f>IFERROR(AVERAGEIF(Workforce_Data!$D$2:$D$501,A51,Workforce_Data!$Z$2:$Z$501),0)</f>
        <v>0.78614050949054959</v>
      </c>
      <c r="G51" s="5">
        <f>IFERROR(AVERAGEIF(Workforce_Data!$D$2:$D$501,A51,Workforce_Data!$N$2:$N$501),0)</f>
        <v>21</v>
      </c>
      <c r="H51" s="5">
        <f>IFERROR(AVERAGEIF(Workforce_Data!$D$2:$D$501,A51,Workforce_Data!$AC$2:$AC$501),0)</f>
        <v>19</v>
      </c>
      <c r="I51" s="5">
        <f>IFERROR(AVERAGEIF(Workforce_Data!$D$2:$D$501,A51,Workforce_Data!$AD$2:$AD$501),0)</f>
        <v>-2</v>
      </c>
      <c r="J51" s="5">
        <f>COUNTIFS(Workforce_Data!$D$2:$D$501,A51,Workforce_Data!$AD$2:$AD$501,"&gt;0")</f>
        <v>0</v>
      </c>
      <c r="K51" s="5">
        <f>COUNTIFS(Workforce_Data!$D$2:$D$501,A51,Workforce_Data!$AD$2:$AD$501,"&lt;0")</f>
        <v>1</v>
      </c>
    </row>
    <row r="52" spans="1:11" x14ac:dyDescent="0.25">
      <c r="A52" t="s">
        <v>82</v>
      </c>
      <c r="B52" t="s">
        <v>83</v>
      </c>
      <c r="C52" s="5">
        <f>COUNTIF(Workforce_Data!$D$2:$D$501,A52)</f>
        <v>6</v>
      </c>
      <c r="D52" s="5">
        <f>IFERROR(AVERAGEIF(Workforce_Data!$D$2:$D$501,A52,Workforce_Data!$W$2:$W$501),0)</f>
        <v>88.665601747619988</v>
      </c>
      <c r="E52">
        <v>91.844441994155332</v>
      </c>
      <c r="F52" s="4">
        <f>IFERROR(AVERAGEIF(Workforce_Data!$D$2:$D$501,A52,Workforce_Data!$Z$2:$Z$501),0)</f>
        <v>0.7811481762634247</v>
      </c>
      <c r="G52" s="5">
        <f>IFERROR(AVERAGEIF(Workforce_Data!$D$2:$D$501,A52,Workforce_Data!$N$2:$N$501),0)</f>
        <v>19.833333333333332</v>
      </c>
      <c r="H52" s="5">
        <f>IFERROR(AVERAGEIF(Workforce_Data!$D$2:$D$501,A52,Workforce_Data!$AC$2:$AC$501),0)</f>
        <v>18</v>
      </c>
      <c r="I52" s="5">
        <f>IFERROR(AVERAGEIF(Workforce_Data!$D$2:$D$501,A52,Workforce_Data!$AD$2:$AD$501),0)</f>
        <v>-1.8333333333333333</v>
      </c>
      <c r="J52" s="5">
        <f>COUNTIFS(Workforce_Data!$D$2:$D$501,A52,Workforce_Data!$AD$2:$AD$501,"&gt;0")</f>
        <v>0</v>
      </c>
      <c r="K52" s="5">
        <f>COUNTIFS(Workforce_Data!$D$2:$D$501,A52,Workforce_Data!$AD$2:$AD$501,"&lt;0")</f>
        <v>6</v>
      </c>
    </row>
    <row r="53" spans="1:11" x14ac:dyDescent="0.25">
      <c r="A53" t="s">
        <v>522</v>
      </c>
      <c r="B53" t="s">
        <v>523</v>
      </c>
      <c r="C53" s="5">
        <f>COUNTIF(Workforce_Data!$D$2:$D$501,A53)</f>
        <v>3</v>
      </c>
      <c r="D53" s="5">
        <f>IFERROR(AVERAGEIF(Workforce_Data!$D$2:$D$501,A53,Workforce_Data!$W$2:$W$501),0)</f>
        <v>120.06031829896062</v>
      </c>
      <c r="E53">
        <v>120.67320691704001</v>
      </c>
      <c r="F53" s="4">
        <f>IFERROR(AVERAGEIF(Workforce_Data!$D$2:$D$501,A53,Workforce_Data!$Z$2:$Z$501),0)</f>
        <v>1.0556708739792489</v>
      </c>
      <c r="G53" s="5">
        <f>IFERROR(AVERAGEIF(Workforce_Data!$D$2:$D$501,A53,Workforce_Data!$N$2:$N$501),0)</f>
        <v>20</v>
      </c>
      <c r="H53" s="5">
        <f>IFERROR(AVERAGEIF(Workforce_Data!$D$2:$D$501,A53,Workforce_Data!$AC$2:$AC$501),0)</f>
        <v>23.333333333333332</v>
      </c>
      <c r="I53" s="5">
        <f>IFERROR(AVERAGEIF(Workforce_Data!$D$2:$D$501,A53,Workforce_Data!$AD$2:$AD$501),0)</f>
        <v>3.3333333333333335</v>
      </c>
      <c r="J53" s="5">
        <f>COUNTIFS(Workforce_Data!$D$2:$D$501,A53,Workforce_Data!$AD$2:$AD$501,"&gt;0")</f>
        <v>3</v>
      </c>
      <c r="K53" s="5">
        <f>COUNTIFS(Workforce_Data!$D$2:$D$501,A53,Workforce_Data!$AD$2:$AD$501,"&lt;0")</f>
        <v>0</v>
      </c>
    </row>
    <row r="54" spans="1:11" x14ac:dyDescent="0.25">
      <c r="A54" t="s">
        <v>275</v>
      </c>
      <c r="B54" t="s">
        <v>276</v>
      </c>
      <c r="C54" s="5">
        <f>COUNTIF(Workforce_Data!$D$2:$D$501,A54)</f>
        <v>6</v>
      </c>
      <c r="D54" s="5">
        <f>IFERROR(AVERAGEIF(Workforce_Data!$D$2:$D$501,A54,Workforce_Data!$W$2:$W$501),0)</f>
        <v>113.43474432408846</v>
      </c>
      <c r="E54">
        <v>117.08246557886849</v>
      </c>
      <c r="F54" s="4">
        <f>IFERROR(AVERAGEIF(Workforce_Data!$D$2:$D$501,A54,Workforce_Data!$Z$2:$Z$501),0)</f>
        <v>1.0225405253098547</v>
      </c>
      <c r="G54" s="5">
        <f>IFERROR(AVERAGEIF(Workforce_Data!$D$2:$D$501,A54,Workforce_Data!$N$2:$N$501),0)</f>
        <v>19.5</v>
      </c>
      <c r="H54" s="5">
        <f>IFERROR(AVERAGEIF(Workforce_Data!$D$2:$D$501,A54,Workforce_Data!$AC$2:$AC$501),0)</f>
        <v>23.333333333333332</v>
      </c>
      <c r="I54" s="5">
        <f>IFERROR(AVERAGEIF(Workforce_Data!$D$2:$D$501,A54,Workforce_Data!$AD$2:$AD$501),0)</f>
        <v>3.8333333333333335</v>
      </c>
      <c r="J54" s="5">
        <f>COUNTIFS(Workforce_Data!$D$2:$D$501,A54,Workforce_Data!$AD$2:$AD$501,"&gt;0")</f>
        <v>6</v>
      </c>
      <c r="K54" s="5">
        <f>COUNTIFS(Workforce_Data!$D$2:$D$501,A54,Workforce_Data!$AD$2:$AD$501,"&lt;0")</f>
        <v>0</v>
      </c>
    </row>
    <row r="55" spans="1:11" x14ac:dyDescent="0.25">
      <c r="A55" t="s">
        <v>86</v>
      </c>
      <c r="B55" t="s">
        <v>87</v>
      </c>
      <c r="C55" s="5">
        <f>COUNTIF(Workforce_Data!$D$2:$D$501,A55)</f>
        <v>5</v>
      </c>
      <c r="D55" s="5">
        <f>IFERROR(AVERAGEIF(Workforce_Data!$D$2:$D$501,A55,Workforce_Data!$W$2:$W$501),0)</f>
        <v>117.43799727696293</v>
      </c>
      <c r="E55">
        <v>127.6746753588139</v>
      </c>
      <c r="F55" s="4">
        <f>IFERROR(AVERAGEIF(Workforce_Data!$D$2:$D$501,A55,Workforce_Data!$Z$2:$Z$501),0)</f>
        <v>1.0180781123305676</v>
      </c>
      <c r="G55" s="5">
        <f>IFERROR(AVERAGEIF(Workforce_Data!$D$2:$D$501,A55,Workforce_Data!$N$2:$N$501),0)</f>
        <v>20.399999999999999</v>
      </c>
      <c r="H55" s="5">
        <f>IFERROR(AVERAGEIF(Workforce_Data!$D$2:$D$501,A55,Workforce_Data!$AC$2:$AC$501),0)</f>
        <v>25.6</v>
      </c>
      <c r="I55" s="5">
        <f>IFERROR(AVERAGEIF(Workforce_Data!$D$2:$D$501,A55,Workforce_Data!$AD$2:$AD$501),0)</f>
        <v>5.2</v>
      </c>
      <c r="J55" s="5">
        <f>COUNTIFS(Workforce_Data!$D$2:$D$501,A55,Workforce_Data!$AD$2:$AD$501,"&gt;0")</f>
        <v>5</v>
      </c>
      <c r="K55" s="5">
        <f>COUNTIFS(Workforce_Data!$D$2:$D$501,A55,Workforce_Data!$AD$2:$AD$501,"&lt;0")</f>
        <v>0</v>
      </c>
    </row>
    <row r="56" spans="1:11" x14ac:dyDescent="0.25">
      <c r="A56" t="s">
        <v>841</v>
      </c>
      <c r="B56" t="s">
        <v>842</v>
      </c>
      <c r="C56" s="5">
        <f>COUNTIF(Workforce_Data!$D$2:$D$501,A56)</f>
        <v>2</v>
      </c>
      <c r="D56" s="5">
        <f>IFERROR(AVERAGEIF(Workforce_Data!$D$2:$D$501,A56,Workforce_Data!$W$2:$W$501),0)</f>
        <v>106.45083468509532</v>
      </c>
      <c r="E56">
        <v>113.7796174122584</v>
      </c>
      <c r="F56" s="4">
        <f>IFERROR(AVERAGEIF(Workforce_Data!$D$2:$D$501,A56,Workforce_Data!$Z$2:$Z$501),0)</f>
        <v>0.89826295504746001</v>
      </c>
      <c r="G56" s="5">
        <f>IFERROR(AVERAGEIF(Workforce_Data!$D$2:$D$501,A56,Workforce_Data!$N$2:$N$501),0)</f>
        <v>22</v>
      </c>
      <c r="H56" s="5">
        <f>IFERROR(AVERAGEIF(Workforce_Data!$D$2:$D$501,A56,Workforce_Data!$AC$2:$AC$501),0)</f>
        <v>26.5</v>
      </c>
      <c r="I56" s="5">
        <f>IFERROR(AVERAGEIF(Workforce_Data!$D$2:$D$501,A56,Workforce_Data!$AD$2:$AD$501),0)</f>
        <v>4.5</v>
      </c>
      <c r="J56" s="5">
        <f>COUNTIFS(Workforce_Data!$D$2:$D$501,A56,Workforce_Data!$AD$2:$AD$501,"&gt;0")</f>
        <v>2</v>
      </c>
      <c r="K56" s="5">
        <f>COUNTIFS(Workforce_Data!$D$2:$D$501,A56,Workforce_Data!$AD$2:$AD$501,"&lt;0")</f>
        <v>0</v>
      </c>
    </row>
    <row r="57" spans="1:11" x14ac:dyDescent="0.25">
      <c r="A57" t="s">
        <v>999</v>
      </c>
      <c r="B57" t="s">
        <v>1000</v>
      </c>
      <c r="C57" s="5">
        <f>COUNTIF(Workforce_Data!$D$2:$D$501,A57)</f>
        <v>3</v>
      </c>
      <c r="D57" s="5">
        <f>IFERROR(AVERAGEIF(Workforce_Data!$D$2:$D$501,A57,Workforce_Data!$W$2:$W$501),0)</f>
        <v>110.9825364424521</v>
      </c>
      <c r="E57">
        <v>116.23457021391739</v>
      </c>
      <c r="F57" s="4">
        <f>IFERROR(AVERAGEIF(Workforce_Data!$D$2:$D$501,A57,Workforce_Data!$Z$2:$Z$501),0)</f>
        <v>0.96753131454014829</v>
      </c>
      <c r="G57" s="5">
        <f>IFERROR(AVERAGEIF(Workforce_Data!$D$2:$D$501,A57,Workforce_Data!$N$2:$N$501),0)</f>
        <v>20.666666666666668</v>
      </c>
      <c r="H57" s="5">
        <f>IFERROR(AVERAGEIF(Workforce_Data!$D$2:$D$501,A57,Workforce_Data!$AC$2:$AC$501),0)</f>
        <v>24</v>
      </c>
      <c r="I57" s="5">
        <f>IFERROR(AVERAGEIF(Workforce_Data!$D$2:$D$501,A57,Workforce_Data!$AD$2:$AD$501),0)</f>
        <v>3.3333333333333335</v>
      </c>
      <c r="J57" s="5">
        <f>COUNTIFS(Workforce_Data!$D$2:$D$501,A57,Workforce_Data!$AD$2:$AD$501,"&gt;0")</f>
        <v>3</v>
      </c>
      <c r="K57" s="5">
        <f>COUNTIFS(Workforce_Data!$D$2:$D$501,A57,Workforce_Data!$AD$2:$AD$501,"&lt;0")</f>
        <v>0</v>
      </c>
    </row>
    <row r="58" spans="1:11" x14ac:dyDescent="0.25">
      <c r="A58" t="s">
        <v>917</v>
      </c>
      <c r="B58" t="s">
        <v>918</v>
      </c>
      <c r="C58" s="5">
        <f>COUNTIF(Workforce_Data!$D$2:$D$501,A58)</f>
        <v>2</v>
      </c>
      <c r="D58" s="5">
        <f>IFERROR(AVERAGEIF(Workforce_Data!$D$2:$D$501,A58,Workforce_Data!$W$2:$W$501),0)</f>
        <v>104.92531636310437</v>
      </c>
      <c r="E58">
        <v>106.12663667617581</v>
      </c>
      <c r="F58" s="4">
        <f>IFERROR(AVERAGEIF(Workforce_Data!$D$2:$D$501,A58,Workforce_Data!$Z$2:$Z$501),0)</f>
        <v>0.90376055960516011</v>
      </c>
      <c r="G58" s="5">
        <f>IFERROR(AVERAGEIF(Workforce_Data!$D$2:$D$501,A58,Workforce_Data!$N$2:$N$501),0)</f>
        <v>20</v>
      </c>
      <c r="H58" s="5">
        <f>IFERROR(AVERAGEIF(Workforce_Data!$D$2:$D$501,A58,Workforce_Data!$AC$2:$AC$501),0)</f>
        <v>23.5</v>
      </c>
      <c r="I58" s="5">
        <f>IFERROR(AVERAGEIF(Workforce_Data!$D$2:$D$501,A58,Workforce_Data!$AD$2:$AD$501),0)</f>
        <v>3.5</v>
      </c>
      <c r="J58" s="5">
        <f>COUNTIFS(Workforce_Data!$D$2:$D$501,A58,Workforce_Data!$AD$2:$AD$501,"&gt;0")</f>
        <v>2</v>
      </c>
      <c r="K58" s="5">
        <f>COUNTIFS(Workforce_Data!$D$2:$D$501,A58,Workforce_Data!$AD$2:$AD$501,"&lt;0")</f>
        <v>0</v>
      </c>
    </row>
    <row r="59" spans="1:11" x14ac:dyDescent="0.25">
      <c r="A59" t="s">
        <v>751</v>
      </c>
      <c r="B59" t="s">
        <v>752</v>
      </c>
      <c r="C59" s="5">
        <f>COUNTIF(Workforce_Data!$D$2:$D$501,A59)</f>
        <v>1</v>
      </c>
      <c r="D59" s="5">
        <f>IFERROR(AVERAGEIF(Workforce_Data!$D$2:$D$501,A59,Workforce_Data!$W$2:$W$501),0)</f>
        <v>109.64435146443515</v>
      </c>
      <c r="E59">
        <v>109.6443514644351</v>
      </c>
      <c r="F59" s="4">
        <f>IFERROR(AVERAGEIF(Workforce_Data!$D$2:$D$501,A59,Workforce_Data!$Z$2:$Z$501),0)</f>
        <v>0.92598395845901971</v>
      </c>
      <c r="G59" s="5">
        <f>IFERROR(AVERAGEIF(Workforce_Data!$D$2:$D$501,A59,Workforce_Data!$N$2:$N$501),0)</f>
        <v>20</v>
      </c>
      <c r="H59" s="5">
        <f>IFERROR(AVERAGEIF(Workforce_Data!$D$2:$D$501,A59,Workforce_Data!$AC$2:$AC$501),0)</f>
        <v>26</v>
      </c>
      <c r="I59" s="5">
        <f>IFERROR(AVERAGEIF(Workforce_Data!$D$2:$D$501,A59,Workforce_Data!$AD$2:$AD$501),0)</f>
        <v>6</v>
      </c>
      <c r="J59" s="5">
        <f>COUNTIFS(Workforce_Data!$D$2:$D$501,A59,Workforce_Data!$AD$2:$AD$501,"&gt;0")</f>
        <v>1</v>
      </c>
      <c r="K59" s="5">
        <f>COUNTIFS(Workforce_Data!$D$2:$D$501,A59,Workforce_Data!$AD$2:$AD$501,"&lt;0")</f>
        <v>0</v>
      </c>
    </row>
    <row r="60" spans="1:11" x14ac:dyDescent="0.25">
      <c r="A60" t="s">
        <v>33</v>
      </c>
      <c r="B60" t="s">
        <v>34</v>
      </c>
      <c r="C60" s="5">
        <f>COUNTIF(Workforce_Data!$D$2:$D$501,A60)</f>
        <v>7</v>
      </c>
      <c r="D60" s="5">
        <f>IFERROR(AVERAGEIF(Workforce_Data!$D$2:$D$501,A60,Workforce_Data!$W$2:$W$501),0)</f>
        <v>112.86791234793805</v>
      </c>
      <c r="E60">
        <v>117.198842069766</v>
      </c>
      <c r="F60" s="4">
        <f>IFERROR(AVERAGEIF(Workforce_Data!$D$2:$D$501,A60,Workforce_Data!$Z$2:$Z$501),0)</f>
        <v>1.005153812553125</v>
      </c>
      <c r="G60" s="5">
        <f>IFERROR(AVERAGEIF(Workforce_Data!$D$2:$D$501,A60,Workforce_Data!$N$2:$N$501),0)</f>
        <v>20.571428571428573</v>
      </c>
      <c r="H60" s="5">
        <f>IFERROR(AVERAGEIF(Workforce_Data!$D$2:$D$501,A60,Workforce_Data!$AC$2:$AC$501),0)</f>
        <v>25.428571428571427</v>
      </c>
      <c r="I60" s="5">
        <f>IFERROR(AVERAGEIF(Workforce_Data!$D$2:$D$501,A60,Workforce_Data!$AD$2:$AD$501),0)</f>
        <v>4.8571428571428568</v>
      </c>
      <c r="J60" s="5">
        <f>COUNTIFS(Workforce_Data!$D$2:$D$501,A60,Workforce_Data!$AD$2:$AD$501,"&gt;0")</f>
        <v>7</v>
      </c>
      <c r="K60" s="5">
        <f>COUNTIFS(Workforce_Data!$D$2:$D$501,A60,Workforce_Data!$AD$2:$AD$501,"&lt;0")</f>
        <v>0</v>
      </c>
    </row>
    <row r="61" spans="1:11" x14ac:dyDescent="0.25">
      <c r="A61" t="s">
        <v>869</v>
      </c>
      <c r="B61" t="s">
        <v>870</v>
      </c>
      <c r="C61" s="5">
        <f>COUNTIF(Workforce_Data!$D$2:$D$501,A61)</f>
        <v>2</v>
      </c>
      <c r="D61" s="5">
        <f>IFERROR(AVERAGEIF(Workforce_Data!$D$2:$D$501,A61,Workforce_Data!$W$2:$W$501),0)</f>
        <v>111.06990537118486</v>
      </c>
      <c r="E61">
        <v>112.13331334133009</v>
      </c>
      <c r="F61" s="4">
        <f>IFERROR(AVERAGEIF(Workforce_Data!$D$2:$D$501,A61,Workforce_Data!$Z$2:$Z$501),0)</f>
        <v>0.98241800878489016</v>
      </c>
      <c r="G61" s="5">
        <f>IFERROR(AVERAGEIF(Workforce_Data!$D$2:$D$501,A61,Workforce_Data!$N$2:$N$501),0)</f>
        <v>18.5</v>
      </c>
      <c r="H61" s="5">
        <f>IFERROR(AVERAGEIF(Workforce_Data!$D$2:$D$501,A61,Workforce_Data!$AC$2:$AC$501),0)</f>
        <v>22</v>
      </c>
      <c r="I61" s="5">
        <f>IFERROR(AVERAGEIF(Workforce_Data!$D$2:$D$501,A61,Workforce_Data!$AD$2:$AD$501),0)</f>
        <v>3.5</v>
      </c>
      <c r="J61" s="5">
        <f>COUNTIFS(Workforce_Data!$D$2:$D$501,A61,Workforce_Data!$AD$2:$AD$501,"&gt;0")</f>
        <v>2</v>
      </c>
      <c r="K61" s="5">
        <f>COUNTIFS(Workforce_Data!$D$2:$D$501,A61,Workforce_Data!$AD$2:$AD$501,"&lt;0")</f>
        <v>0</v>
      </c>
    </row>
    <row r="62" spans="1:11" x14ac:dyDescent="0.25">
      <c r="A62" t="s">
        <v>58</v>
      </c>
      <c r="B62" t="s">
        <v>59</v>
      </c>
      <c r="C62" s="5">
        <f>COUNTIF(Workforce_Data!$D$2:$D$501,A62)</f>
        <v>5</v>
      </c>
      <c r="D62" s="5">
        <f>IFERROR(AVERAGEIF(Workforce_Data!$D$2:$D$501,A62,Workforce_Data!$W$2:$W$501),0)</f>
        <v>76.317826633186513</v>
      </c>
      <c r="E62">
        <v>82.572076449627474</v>
      </c>
      <c r="F62" s="4">
        <f>IFERROR(AVERAGEIF(Workforce_Data!$D$2:$D$501,A62,Workforce_Data!$Z$2:$Z$501),0)</f>
        <v>0.64485034003581421</v>
      </c>
      <c r="G62" s="5">
        <f>IFERROR(AVERAGEIF(Workforce_Data!$D$2:$D$501,A62,Workforce_Data!$N$2:$N$501),0)</f>
        <v>22</v>
      </c>
      <c r="H62" s="5">
        <f>IFERROR(AVERAGEIF(Workforce_Data!$D$2:$D$501,A62,Workforce_Data!$AC$2:$AC$501),0)</f>
        <v>18.399999999999999</v>
      </c>
      <c r="I62" s="5">
        <f>IFERROR(AVERAGEIF(Workforce_Data!$D$2:$D$501,A62,Workforce_Data!$AD$2:$AD$501),0)</f>
        <v>-3.6</v>
      </c>
      <c r="J62" s="5">
        <f>COUNTIFS(Workforce_Data!$D$2:$D$501,A62,Workforce_Data!$AD$2:$AD$501,"&gt;0")</f>
        <v>0</v>
      </c>
      <c r="K62" s="5">
        <f>COUNTIFS(Workforce_Data!$D$2:$D$501,A62,Workforce_Data!$AD$2:$AD$501,"&lt;0")</f>
        <v>5</v>
      </c>
    </row>
    <row r="63" spans="1:11" x14ac:dyDescent="0.25">
      <c r="A63" t="s">
        <v>558</v>
      </c>
      <c r="B63" t="s">
        <v>143</v>
      </c>
      <c r="C63" s="5">
        <f>COUNTIF(Workforce_Data!$D$2:$D$501,A63)</f>
        <v>4</v>
      </c>
      <c r="D63" s="5">
        <f>IFERROR(AVERAGEIF(Workforce_Data!$D$2:$D$501,A63,Workforce_Data!$W$2:$W$501),0)</f>
        <v>117.94712486463588</v>
      </c>
      <c r="E63">
        <v>124.6575712371167</v>
      </c>
      <c r="F63" s="4">
        <f>IFERROR(AVERAGEIF(Workforce_Data!$D$2:$D$501,A63,Workforce_Data!$Z$2:$Z$501),0)</f>
        <v>0.99455952439130335</v>
      </c>
      <c r="G63" s="5">
        <f>IFERROR(AVERAGEIF(Workforce_Data!$D$2:$D$501,A63,Workforce_Data!$N$2:$N$501),0)</f>
        <v>22.75</v>
      </c>
      <c r="H63" s="5">
        <f>IFERROR(AVERAGEIF(Workforce_Data!$D$2:$D$501,A63,Workforce_Data!$AC$2:$AC$501),0)</f>
        <v>26</v>
      </c>
      <c r="I63" s="5">
        <f>IFERROR(AVERAGEIF(Workforce_Data!$D$2:$D$501,A63,Workforce_Data!$AD$2:$AD$501),0)</f>
        <v>3.25</v>
      </c>
      <c r="J63" s="5">
        <f>COUNTIFS(Workforce_Data!$D$2:$D$501,A63,Workforce_Data!$AD$2:$AD$501,"&gt;0")</f>
        <v>4</v>
      </c>
      <c r="K63" s="5">
        <f>COUNTIFS(Workforce_Data!$D$2:$D$501,A63,Workforce_Data!$AD$2:$AD$501,"&lt;0")</f>
        <v>0</v>
      </c>
    </row>
    <row r="64" spans="1:11" x14ac:dyDescent="0.25">
      <c r="A64" t="s">
        <v>142</v>
      </c>
      <c r="B64" t="s">
        <v>143</v>
      </c>
      <c r="C64" s="5">
        <f>COUNTIF(Workforce_Data!$D$2:$D$501,A64)</f>
        <v>6</v>
      </c>
      <c r="D64" s="5">
        <f>IFERROR(AVERAGEIF(Workforce_Data!$D$2:$D$501,A64,Workforce_Data!$W$2:$W$501),0)</f>
        <v>100.16344616344618</v>
      </c>
      <c r="E64">
        <v>109.6237714430784</v>
      </c>
      <c r="F64" s="4">
        <f>IFERROR(AVERAGEIF(Workforce_Data!$D$2:$D$501,A64,Workforce_Data!$Z$2:$Z$501),0)</f>
        <v>0.88798797636617166</v>
      </c>
      <c r="G64" s="5">
        <f>IFERROR(AVERAGEIF(Workforce_Data!$D$2:$D$501,A64,Workforce_Data!$N$2:$N$501),0)</f>
        <v>19.333333333333332</v>
      </c>
      <c r="H64" s="5">
        <f>IFERROR(AVERAGEIF(Workforce_Data!$D$2:$D$501,A64,Workforce_Data!$AC$2:$AC$501),0)</f>
        <v>21.833333333333332</v>
      </c>
      <c r="I64" s="5">
        <f>IFERROR(AVERAGEIF(Workforce_Data!$D$2:$D$501,A64,Workforce_Data!$AD$2:$AD$501),0)</f>
        <v>2.5</v>
      </c>
      <c r="J64" s="5">
        <f>COUNTIFS(Workforce_Data!$D$2:$D$501,A64,Workforce_Data!$AD$2:$AD$501,"&gt;0")</f>
        <v>6</v>
      </c>
      <c r="K64" s="5">
        <f>COUNTIFS(Workforce_Data!$D$2:$D$501,A64,Workforce_Data!$AD$2:$AD$501,"&lt;0")</f>
        <v>0</v>
      </c>
    </row>
    <row r="65" spans="1:11" x14ac:dyDescent="0.25">
      <c r="A65" t="s">
        <v>395</v>
      </c>
      <c r="B65" t="s">
        <v>143</v>
      </c>
      <c r="C65" s="5">
        <f>COUNTIF(Workforce_Data!$D$2:$D$501,A65)</f>
        <v>5</v>
      </c>
      <c r="D65" s="5">
        <f>IFERROR(AVERAGEIF(Workforce_Data!$D$2:$D$501,A65,Workforce_Data!$W$2:$W$501),0)</f>
        <v>111.87517470320225</v>
      </c>
      <c r="E65">
        <v>114.6278145695364</v>
      </c>
      <c r="F65" s="4">
        <f>IFERROR(AVERAGEIF(Workforce_Data!$D$2:$D$501,A65,Workforce_Data!$Z$2:$Z$501),0)</f>
        <v>0.95904369487751462</v>
      </c>
      <c r="G65" s="5">
        <f>IFERROR(AVERAGEIF(Workforce_Data!$D$2:$D$501,A65,Workforce_Data!$N$2:$N$501),0)</f>
        <v>20.6</v>
      </c>
      <c r="H65" s="5">
        <f>IFERROR(AVERAGEIF(Workforce_Data!$D$2:$D$501,A65,Workforce_Data!$AC$2:$AC$501),0)</f>
        <v>24.6</v>
      </c>
      <c r="I65" s="5">
        <f>IFERROR(AVERAGEIF(Workforce_Data!$D$2:$D$501,A65,Workforce_Data!$AD$2:$AD$501),0)</f>
        <v>4</v>
      </c>
      <c r="J65" s="5">
        <f>COUNTIFS(Workforce_Data!$D$2:$D$501,A65,Workforce_Data!$AD$2:$AD$501,"&gt;0")</f>
        <v>5</v>
      </c>
      <c r="K65" s="5">
        <f>COUNTIFS(Workforce_Data!$D$2:$D$501,A65,Workforce_Data!$AD$2:$AD$501,"&lt;0")</f>
        <v>0</v>
      </c>
    </row>
    <row r="66" spans="1:11" x14ac:dyDescent="0.25">
      <c r="A66" t="s">
        <v>257</v>
      </c>
      <c r="B66" t="s">
        <v>258</v>
      </c>
      <c r="C66" s="5">
        <f>COUNTIF(Workforce_Data!$D$2:$D$501,A66)</f>
        <v>8</v>
      </c>
      <c r="D66" s="5">
        <f>IFERROR(AVERAGEIF(Workforce_Data!$D$2:$D$501,A66,Workforce_Data!$W$2:$W$501),0)</f>
        <v>99.741519257224027</v>
      </c>
      <c r="E66">
        <v>105.8057471534034</v>
      </c>
      <c r="F66" s="4">
        <f>IFERROR(AVERAGEIF(Workforce_Data!$D$2:$D$501,A66,Workforce_Data!$Z$2:$Z$501),0)</f>
        <v>0.88872584136412858</v>
      </c>
      <c r="G66" s="5">
        <f>IFERROR(AVERAGEIF(Workforce_Data!$D$2:$D$501,A66,Workforce_Data!$N$2:$N$501),0)</f>
        <v>19</v>
      </c>
      <c r="H66" s="5">
        <f>IFERROR(AVERAGEIF(Workforce_Data!$D$2:$D$501,A66,Workforce_Data!$AC$2:$AC$501),0)</f>
        <v>22</v>
      </c>
      <c r="I66" s="5">
        <f>IFERROR(AVERAGEIF(Workforce_Data!$D$2:$D$501,A66,Workforce_Data!$AD$2:$AD$501),0)</f>
        <v>3</v>
      </c>
      <c r="J66" s="5">
        <f>COUNTIFS(Workforce_Data!$D$2:$D$501,A66,Workforce_Data!$AD$2:$AD$501,"&gt;0")</f>
        <v>7</v>
      </c>
      <c r="K66" s="5">
        <f>COUNTIFS(Workforce_Data!$D$2:$D$501,A66,Workforce_Data!$AD$2:$AD$501,"&lt;0")</f>
        <v>0</v>
      </c>
    </row>
    <row r="67" spans="1:11" x14ac:dyDescent="0.25">
      <c r="A67" t="s">
        <v>342</v>
      </c>
      <c r="B67" t="s">
        <v>343</v>
      </c>
      <c r="C67" s="5">
        <f>COUNTIF(Workforce_Data!$D$2:$D$501,A67)</f>
        <v>7</v>
      </c>
      <c r="D67" s="5">
        <f>IFERROR(AVERAGEIF(Workforce_Data!$D$2:$D$501,A67,Workforce_Data!$W$2:$W$501),0)</f>
        <v>109.0642234587408</v>
      </c>
      <c r="E67">
        <v>112.53374827382289</v>
      </c>
      <c r="F67" s="4">
        <f>IFERROR(AVERAGEIF(Workforce_Data!$D$2:$D$501,A67,Workforce_Data!$Z$2:$Z$501),0)</f>
        <v>0.97363690904935496</v>
      </c>
      <c r="G67" s="5">
        <f>IFERROR(AVERAGEIF(Workforce_Data!$D$2:$D$501,A67,Workforce_Data!$N$2:$N$501),0)</f>
        <v>17.857142857142858</v>
      </c>
      <c r="H67" s="5">
        <f>IFERROR(AVERAGEIF(Workforce_Data!$D$2:$D$501,A67,Workforce_Data!$AC$2:$AC$501),0)</f>
        <v>20.142857142857142</v>
      </c>
      <c r="I67" s="5">
        <f>IFERROR(AVERAGEIF(Workforce_Data!$D$2:$D$501,A67,Workforce_Data!$AD$2:$AD$501),0)</f>
        <v>2.2857142857142856</v>
      </c>
      <c r="J67" s="5">
        <f>COUNTIFS(Workforce_Data!$D$2:$D$501,A67,Workforce_Data!$AD$2:$AD$501,"&gt;0")</f>
        <v>7</v>
      </c>
      <c r="K67" s="5">
        <f>COUNTIFS(Workforce_Data!$D$2:$D$501,A67,Workforce_Data!$AD$2:$AD$501,"&lt;0")</f>
        <v>0</v>
      </c>
    </row>
    <row r="68" spans="1:11" x14ac:dyDescent="0.25">
      <c r="A68" t="s">
        <v>953</v>
      </c>
      <c r="B68" t="s">
        <v>954</v>
      </c>
      <c r="C68" s="5">
        <f>COUNTIF(Workforce_Data!$D$2:$D$501,A68)</f>
        <v>3</v>
      </c>
      <c r="D68" s="5">
        <f>IFERROR(AVERAGEIF(Workforce_Data!$D$2:$D$501,A68,Workforce_Data!$W$2:$W$501),0)</f>
        <v>109.20643789923948</v>
      </c>
      <c r="E68">
        <v>112.5706573120366</v>
      </c>
      <c r="F68" s="4">
        <f>IFERROR(AVERAGEIF(Workforce_Data!$D$2:$D$501,A68,Workforce_Data!$Z$2:$Z$501),0)</f>
        <v>0.9361375976213312</v>
      </c>
      <c r="G68" s="5">
        <f>IFERROR(AVERAGEIF(Workforce_Data!$D$2:$D$501,A68,Workforce_Data!$N$2:$N$501),0)</f>
        <v>19.333333333333332</v>
      </c>
      <c r="H68" s="5">
        <f>IFERROR(AVERAGEIF(Workforce_Data!$D$2:$D$501,A68,Workforce_Data!$AC$2:$AC$501),0)</f>
        <v>20.666666666666668</v>
      </c>
      <c r="I68" s="5">
        <f>IFERROR(AVERAGEIF(Workforce_Data!$D$2:$D$501,A68,Workforce_Data!$AD$2:$AD$501),0)</f>
        <v>1.3333333333333333</v>
      </c>
      <c r="J68" s="5">
        <f>COUNTIFS(Workforce_Data!$D$2:$D$501,A68,Workforce_Data!$AD$2:$AD$501,"&gt;0")</f>
        <v>2</v>
      </c>
      <c r="K68" s="5">
        <f>COUNTIFS(Workforce_Data!$D$2:$D$501,A68,Workforce_Data!$AD$2:$AD$501,"&lt;0")</f>
        <v>0</v>
      </c>
    </row>
    <row r="69" spans="1:11" x14ac:dyDescent="0.25">
      <c r="A69" t="s">
        <v>685</v>
      </c>
      <c r="B69" t="s">
        <v>686</v>
      </c>
      <c r="C69" s="5">
        <f>COUNTIF(Workforce_Data!$D$2:$D$501,A69)</f>
        <v>3</v>
      </c>
      <c r="D69" s="5">
        <f>IFERROR(AVERAGEIF(Workforce_Data!$D$2:$D$501,A69,Workforce_Data!$W$2:$W$501),0)</f>
        <v>120.67278681542751</v>
      </c>
      <c r="E69">
        <v>125.666512573915</v>
      </c>
      <c r="F69" s="4">
        <f>IFERROR(AVERAGEIF(Workforce_Data!$D$2:$D$501,A69,Workforce_Data!$Z$2:$Z$501),0)</f>
        <v>0.97369957127678874</v>
      </c>
      <c r="G69" s="5">
        <f>IFERROR(AVERAGEIF(Workforce_Data!$D$2:$D$501,A69,Workforce_Data!$N$2:$N$501),0)</f>
        <v>24</v>
      </c>
      <c r="H69" s="5">
        <f>IFERROR(AVERAGEIF(Workforce_Data!$D$2:$D$501,A69,Workforce_Data!$AC$2:$AC$501),0)</f>
        <v>26.666666666666668</v>
      </c>
      <c r="I69" s="5">
        <f>IFERROR(AVERAGEIF(Workforce_Data!$D$2:$D$501,A69,Workforce_Data!$AD$2:$AD$501),0)</f>
        <v>2.6666666666666665</v>
      </c>
      <c r="J69" s="5">
        <f>COUNTIFS(Workforce_Data!$D$2:$D$501,A69,Workforce_Data!$AD$2:$AD$501,"&gt;0")</f>
        <v>2</v>
      </c>
      <c r="K69" s="5">
        <f>COUNTIFS(Workforce_Data!$D$2:$D$501,A69,Workforce_Data!$AD$2:$AD$501,"&lt;0")</f>
        <v>0</v>
      </c>
    </row>
    <row r="70" spans="1:11" x14ac:dyDescent="0.25">
      <c r="A70" t="s">
        <v>216</v>
      </c>
      <c r="B70" t="s">
        <v>217</v>
      </c>
      <c r="C70" s="5">
        <f>COUNTIF(Workforce_Data!$D$2:$D$501,A70)</f>
        <v>10</v>
      </c>
      <c r="D70" s="5">
        <f>IFERROR(AVERAGEIF(Workforce_Data!$D$2:$D$501,A70,Workforce_Data!$W$2:$W$501),0)</f>
        <v>106.02268827351013</v>
      </c>
      <c r="E70">
        <v>110.0963861018209</v>
      </c>
      <c r="F70" s="4">
        <f>IFERROR(AVERAGEIF(Workforce_Data!$D$2:$D$501,A70,Workforce_Data!$Z$2:$Z$501),0)</f>
        <v>0.89128169812792302</v>
      </c>
      <c r="G70" s="5">
        <f>IFERROR(AVERAGEIF(Workforce_Data!$D$2:$D$501,A70,Workforce_Data!$N$2:$N$501),0)</f>
        <v>21.5</v>
      </c>
      <c r="H70" s="5">
        <f>IFERROR(AVERAGEIF(Workforce_Data!$D$2:$D$501,A70,Workforce_Data!$AC$2:$AC$501),0)</f>
        <v>23.6</v>
      </c>
      <c r="I70" s="5">
        <f>IFERROR(AVERAGEIF(Workforce_Data!$D$2:$D$501,A70,Workforce_Data!$AD$2:$AD$501),0)</f>
        <v>2.1</v>
      </c>
      <c r="J70" s="5">
        <f>COUNTIFS(Workforce_Data!$D$2:$D$501,A70,Workforce_Data!$AD$2:$AD$501,"&gt;0")</f>
        <v>9</v>
      </c>
      <c r="K70" s="5">
        <f>COUNTIFS(Workforce_Data!$D$2:$D$501,A70,Workforce_Data!$AD$2:$AD$501,"&lt;0")</f>
        <v>0</v>
      </c>
    </row>
    <row r="71" spans="1:11" x14ac:dyDescent="0.25">
      <c r="A71" t="s">
        <v>324</v>
      </c>
      <c r="B71" t="s">
        <v>325</v>
      </c>
      <c r="C71" s="5">
        <f>COUNTIF(Workforce_Data!$D$2:$D$501,A71)</f>
        <v>6</v>
      </c>
      <c r="D71" s="5">
        <f>IFERROR(AVERAGEIF(Workforce_Data!$D$2:$D$501,A71,Workforce_Data!$W$2:$W$501),0)</f>
        <v>85.556186608952359</v>
      </c>
      <c r="E71">
        <v>90.957157111574347</v>
      </c>
      <c r="F71" s="4">
        <f>IFERROR(AVERAGEIF(Workforce_Data!$D$2:$D$501,A71,Workforce_Data!$Z$2:$Z$501),0)</f>
        <v>0.75718116506788069</v>
      </c>
      <c r="G71" s="5">
        <f>IFERROR(AVERAGEIF(Workforce_Data!$D$2:$D$501,A71,Workforce_Data!$N$2:$N$501),0)</f>
        <v>20.333333333333332</v>
      </c>
      <c r="H71" s="5">
        <f>IFERROR(AVERAGEIF(Workforce_Data!$D$2:$D$501,A71,Workforce_Data!$AC$2:$AC$501),0)</f>
        <v>18.5</v>
      </c>
      <c r="I71" s="5">
        <f>IFERROR(AVERAGEIF(Workforce_Data!$D$2:$D$501,A71,Workforce_Data!$AD$2:$AD$501),0)</f>
        <v>-1.8333333333333333</v>
      </c>
      <c r="J71" s="5">
        <f>COUNTIFS(Workforce_Data!$D$2:$D$501,A71,Workforce_Data!$AD$2:$AD$501,"&gt;0")</f>
        <v>0</v>
      </c>
      <c r="K71" s="5">
        <f>COUNTIFS(Workforce_Data!$D$2:$D$501,A71,Workforce_Data!$AD$2:$AD$501,"&lt;0")</f>
        <v>6</v>
      </c>
    </row>
    <row r="72" spans="1:11" x14ac:dyDescent="0.25">
      <c r="A72" t="s">
        <v>47</v>
      </c>
      <c r="B72" t="s">
        <v>48</v>
      </c>
      <c r="C72" s="5">
        <f>COUNTIF(Workforce_Data!$D$2:$D$501,A72)</f>
        <v>9</v>
      </c>
      <c r="D72" s="5">
        <f>IFERROR(AVERAGEIF(Workforce_Data!$D$2:$D$501,A72,Workforce_Data!$W$2:$W$501),0)</f>
        <v>92.606491090056323</v>
      </c>
      <c r="E72">
        <v>95.776675731882904</v>
      </c>
      <c r="F72" s="4">
        <f>IFERROR(AVERAGEIF(Workforce_Data!$D$2:$D$501,A72,Workforce_Data!$Z$2:$Z$501),0)</f>
        <v>0.7860904424599976</v>
      </c>
      <c r="G72" s="5">
        <f>IFERROR(AVERAGEIF(Workforce_Data!$D$2:$D$501,A72,Workforce_Data!$N$2:$N$501),0)</f>
        <v>22.333333333333332</v>
      </c>
      <c r="H72" s="5">
        <f>IFERROR(AVERAGEIF(Workforce_Data!$D$2:$D$501,A72,Workforce_Data!$AC$2:$AC$501),0)</f>
        <v>21</v>
      </c>
      <c r="I72" s="5">
        <f>IFERROR(AVERAGEIF(Workforce_Data!$D$2:$D$501,A72,Workforce_Data!$AD$2:$AD$501),0)</f>
        <v>-1.3333333333333333</v>
      </c>
      <c r="J72" s="5">
        <f>COUNTIFS(Workforce_Data!$D$2:$D$501,A72,Workforce_Data!$AD$2:$AD$501,"&gt;0")</f>
        <v>2</v>
      </c>
      <c r="K72" s="5">
        <f>COUNTIFS(Workforce_Data!$D$2:$D$501,A72,Workforce_Data!$AD$2:$AD$501,"&lt;0")</f>
        <v>5</v>
      </c>
    </row>
    <row r="73" spans="1:11" x14ac:dyDescent="0.25">
      <c r="A73" t="s">
        <v>408</v>
      </c>
      <c r="B73" t="s">
        <v>409</v>
      </c>
      <c r="C73" s="5">
        <f>COUNTIF(Workforce_Data!$D$2:$D$501,A73)</f>
        <v>5</v>
      </c>
      <c r="D73" s="5">
        <f>IFERROR(AVERAGEIF(Workforce_Data!$D$2:$D$501,A73,Workforce_Data!$W$2:$W$501),0)</f>
        <v>109.73719143187677</v>
      </c>
      <c r="E73">
        <v>114.28802153432029</v>
      </c>
      <c r="F73" s="4">
        <f>IFERROR(AVERAGEIF(Workforce_Data!$D$2:$D$501,A73,Workforce_Data!$Z$2:$Z$501),0)</f>
        <v>0.9517835338318188</v>
      </c>
      <c r="G73" s="5">
        <f>IFERROR(AVERAGEIF(Workforce_Data!$D$2:$D$501,A73,Workforce_Data!$N$2:$N$501),0)</f>
        <v>20</v>
      </c>
      <c r="H73" s="5">
        <f>IFERROR(AVERAGEIF(Workforce_Data!$D$2:$D$501,A73,Workforce_Data!$AC$2:$AC$501),0)</f>
        <v>22.4</v>
      </c>
      <c r="I73" s="5">
        <f>IFERROR(AVERAGEIF(Workforce_Data!$D$2:$D$501,A73,Workforce_Data!$AD$2:$AD$501),0)</f>
        <v>2.4</v>
      </c>
      <c r="J73" s="5">
        <f>COUNTIFS(Workforce_Data!$D$2:$D$501,A73,Workforce_Data!$AD$2:$AD$501,"&gt;0")</f>
        <v>5</v>
      </c>
      <c r="K73" s="5">
        <f>COUNTIFS(Workforce_Data!$D$2:$D$501,A73,Workforce_Data!$AD$2:$AD$501,"&lt;0")</f>
        <v>0</v>
      </c>
    </row>
    <row r="74" spans="1:11" x14ac:dyDescent="0.25">
      <c r="A74" t="s">
        <v>178</v>
      </c>
      <c r="B74" t="s">
        <v>179</v>
      </c>
      <c r="C74" s="5">
        <f>COUNTIF(Workforce_Data!$D$2:$D$501,A74)</f>
        <v>7</v>
      </c>
      <c r="D74" s="5">
        <f>IFERROR(AVERAGEIF(Workforce_Data!$D$2:$D$501,A74,Workforce_Data!$W$2:$W$501),0)</f>
        <v>120.41659031257457</v>
      </c>
      <c r="E74">
        <v>129.40436455376849</v>
      </c>
      <c r="F74" s="4">
        <f>IFERROR(AVERAGEIF(Workforce_Data!$D$2:$D$501,A74,Workforce_Data!$Z$2:$Z$501),0)</f>
        <v>1.0148571771268837</v>
      </c>
      <c r="G74" s="5">
        <f>IFERROR(AVERAGEIF(Workforce_Data!$D$2:$D$501,A74,Workforce_Data!$N$2:$N$501),0)</f>
        <v>21.285714285714285</v>
      </c>
      <c r="H74" s="5">
        <f>IFERROR(AVERAGEIF(Workforce_Data!$D$2:$D$501,A74,Workforce_Data!$AC$2:$AC$501),0)</f>
        <v>24.714285714285715</v>
      </c>
      <c r="I74" s="5">
        <f>IFERROR(AVERAGEIF(Workforce_Data!$D$2:$D$501,A74,Workforce_Data!$AD$2:$AD$501),0)</f>
        <v>3.4285714285714284</v>
      </c>
      <c r="J74" s="5">
        <f>COUNTIFS(Workforce_Data!$D$2:$D$501,A74,Workforce_Data!$AD$2:$AD$501,"&gt;0")</f>
        <v>7</v>
      </c>
      <c r="K74" s="5">
        <f>COUNTIFS(Workforce_Data!$D$2:$D$501,A74,Workforce_Data!$AD$2:$AD$501,"&lt;0")</f>
        <v>0</v>
      </c>
    </row>
    <row r="75" spans="1:11" x14ac:dyDescent="0.25">
      <c r="A75" t="s">
        <v>119</v>
      </c>
      <c r="B75" t="s">
        <v>120</v>
      </c>
      <c r="C75" s="5">
        <f>COUNTIF(Workforce_Data!$D$2:$D$501,A75)</f>
        <v>4</v>
      </c>
      <c r="D75" s="5">
        <f>IFERROR(AVERAGEIF(Workforce_Data!$D$2:$D$501,A75,Workforce_Data!$W$2:$W$501),0)</f>
        <v>112.08858686926384</v>
      </c>
      <c r="E75">
        <v>116.6617046802784</v>
      </c>
      <c r="F75" s="4">
        <f>IFERROR(AVERAGEIF(Workforce_Data!$D$2:$D$501,A75,Workforce_Data!$Z$2:$Z$501),0)</f>
        <v>1.0079874835982867</v>
      </c>
      <c r="G75" s="5">
        <f>IFERROR(AVERAGEIF(Workforce_Data!$D$2:$D$501,A75,Workforce_Data!$N$2:$N$501),0)</f>
        <v>18.25</v>
      </c>
      <c r="H75" s="5">
        <f>IFERROR(AVERAGEIF(Workforce_Data!$D$2:$D$501,A75,Workforce_Data!$AC$2:$AC$501),0)</f>
        <v>22</v>
      </c>
      <c r="I75" s="5">
        <f>IFERROR(AVERAGEIF(Workforce_Data!$D$2:$D$501,A75,Workforce_Data!$AD$2:$AD$501),0)</f>
        <v>3.75</v>
      </c>
      <c r="J75" s="5">
        <f>COUNTIFS(Workforce_Data!$D$2:$D$501,A75,Workforce_Data!$AD$2:$AD$501,"&gt;0")</f>
        <v>4</v>
      </c>
      <c r="K75" s="5">
        <f>COUNTIFS(Workforce_Data!$D$2:$D$501,A75,Workforce_Data!$AD$2:$AD$501,"&lt;0")</f>
        <v>0</v>
      </c>
    </row>
    <row r="76" spans="1:11" x14ac:dyDescent="0.25">
      <c r="A76" t="s">
        <v>561</v>
      </c>
      <c r="B76" t="s">
        <v>562</v>
      </c>
      <c r="C76" s="5">
        <f>COUNTIF(Workforce_Data!$D$2:$D$501,A76)</f>
        <v>3</v>
      </c>
      <c r="D76" s="5">
        <f>IFERROR(AVERAGEIF(Workforce_Data!$D$2:$D$501,A76,Workforce_Data!$W$2:$W$501),0)</f>
        <v>119.80575264365747</v>
      </c>
      <c r="E76">
        <v>129.54056173859539</v>
      </c>
      <c r="F76" s="4">
        <f>IFERROR(AVERAGEIF(Workforce_Data!$D$2:$D$501,A76,Workforce_Data!$Z$2:$Z$501),0)</f>
        <v>1.0059547026576767</v>
      </c>
      <c r="G76" s="5">
        <f>IFERROR(AVERAGEIF(Workforce_Data!$D$2:$D$501,A76,Workforce_Data!$N$2:$N$501),0)</f>
        <v>22.333333333333332</v>
      </c>
      <c r="H76" s="5">
        <f>IFERROR(AVERAGEIF(Workforce_Data!$D$2:$D$501,A76,Workforce_Data!$AC$2:$AC$501),0)</f>
        <v>26.333333333333332</v>
      </c>
      <c r="I76" s="5">
        <f>IFERROR(AVERAGEIF(Workforce_Data!$D$2:$D$501,A76,Workforce_Data!$AD$2:$AD$501),0)</f>
        <v>4</v>
      </c>
      <c r="J76" s="5">
        <f>COUNTIFS(Workforce_Data!$D$2:$D$501,A76,Workforce_Data!$AD$2:$AD$501,"&gt;0")</f>
        <v>3</v>
      </c>
      <c r="K76" s="5">
        <f>COUNTIFS(Workforce_Data!$D$2:$D$501,A76,Workforce_Data!$AD$2:$AD$501,"&lt;0")</f>
        <v>0</v>
      </c>
    </row>
    <row r="77" spans="1:11" x14ac:dyDescent="0.25">
      <c r="A77" t="s">
        <v>452</v>
      </c>
      <c r="B77" t="s">
        <v>453</v>
      </c>
      <c r="C77" s="5">
        <f>COUNTIF(Workforce_Data!$D$2:$D$501,A77)</f>
        <v>8</v>
      </c>
      <c r="D77" s="5">
        <f>IFERROR(AVERAGEIF(Workforce_Data!$D$2:$D$501,A77,Workforce_Data!$W$2:$W$501),0)</f>
        <v>114.79034057497947</v>
      </c>
      <c r="E77">
        <v>118.9526355996944</v>
      </c>
      <c r="F77" s="4">
        <f>IFERROR(AVERAGEIF(Workforce_Data!$D$2:$D$501,A77,Workforce_Data!$Z$2:$Z$501),0)</f>
        <v>1.0062621239311902</v>
      </c>
      <c r="G77" s="5">
        <f>IFERROR(AVERAGEIF(Workforce_Data!$D$2:$D$501,A77,Workforce_Data!$N$2:$N$501),0)</f>
        <v>20</v>
      </c>
      <c r="H77" s="5">
        <f>IFERROR(AVERAGEIF(Workforce_Data!$D$2:$D$501,A77,Workforce_Data!$AC$2:$AC$501),0)</f>
        <v>23.5</v>
      </c>
      <c r="I77" s="5">
        <f>IFERROR(AVERAGEIF(Workforce_Data!$D$2:$D$501,A77,Workforce_Data!$AD$2:$AD$501),0)</f>
        <v>3.5</v>
      </c>
      <c r="J77" s="5">
        <f>COUNTIFS(Workforce_Data!$D$2:$D$501,A77,Workforce_Data!$AD$2:$AD$501,"&gt;0")</f>
        <v>8</v>
      </c>
      <c r="K77" s="5">
        <f>COUNTIFS(Workforce_Data!$D$2:$D$501,A77,Workforce_Data!$AD$2:$AD$501,"&lt;0")</f>
        <v>0</v>
      </c>
    </row>
    <row r="78" spans="1:11" x14ac:dyDescent="0.25">
      <c r="A78" t="s">
        <v>166</v>
      </c>
      <c r="B78" t="s">
        <v>167</v>
      </c>
      <c r="C78" s="5">
        <f>COUNTIF(Workforce_Data!$D$2:$D$501,A78)</f>
        <v>3</v>
      </c>
      <c r="D78" s="5">
        <f>IFERROR(AVERAGEIF(Workforce_Data!$D$2:$D$501,A78,Workforce_Data!$W$2:$W$501),0)</f>
        <v>108.73194048750416</v>
      </c>
      <c r="E78">
        <v>114.5856209511786</v>
      </c>
      <c r="F78" s="4">
        <f>IFERROR(AVERAGEIF(Workforce_Data!$D$2:$D$501,A78,Workforce_Data!$Z$2:$Z$501),0)</f>
        <v>0.96312022664401065</v>
      </c>
      <c r="G78" s="5">
        <f>IFERROR(AVERAGEIF(Workforce_Data!$D$2:$D$501,A78,Workforce_Data!$N$2:$N$501),0)</f>
        <v>20.333333333333332</v>
      </c>
      <c r="H78" s="5">
        <f>IFERROR(AVERAGEIF(Workforce_Data!$D$2:$D$501,A78,Workforce_Data!$AC$2:$AC$501),0)</f>
        <v>22</v>
      </c>
      <c r="I78" s="5">
        <f>IFERROR(AVERAGEIF(Workforce_Data!$D$2:$D$501,A78,Workforce_Data!$AD$2:$AD$501),0)</f>
        <v>1.6666666666666667</v>
      </c>
      <c r="J78" s="5">
        <f>COUNTIFS(Workforce_Data!$D$2:$D$501,A78,Workforce_Data!$AD$2:$AD$501,"&gt;0")</f>
        <v>2</v>
      </c>
      <c r="K78" s="5">
        <f>COUNTIFS(Workforce_Data!$D$2:$D$501,A78,Workforce_Data!$AD$2:$AD$501,"&lt;0")</f>
        <v>0</v>
      </c>
    </row>
    <row r="79" spans="1:11" x14ac:dyDescent="0.25">
      <c r="A79" t="s">
        <v>573</v>
      </c>
      <c r="B79" t="s">
        <v>574</v>
      </c>
      <c r="C79" s="5">
        <f>COUNTIF(Workforce_Data!$D$2:$D$501,A79)</f>
        <v>4</v>
      </c>
      <c r="D79" s="5">
        <f>IFERROR(AVERAGEIF(Workforce_Data!$D$2:$D$501,A79,Workforce_Data!$W$2:$W$501),0)</f>
        <v>116.21060898277008</v>
      </c>
      <c r="E79">
        <v>123.2745150862069</v>
      </c>
      <c r="F79" s="4">
        <f>IFERROR(AVERAGEIF(Workforce_Data!$D$2:$D$501,A79,Workforce_Data!$Z$2:$Z$501),0)</f>
        <v>1.0318701150019824</v>
      </c>
      <c r="G79" s="5">
        <f>IFERROR(AVERAGEIF(Workforce_Data!$D$2:$D$501,A79,Workforce_Data!$N$2:$N$501),0)</f>
        <v>18</v>
      </c>
      <c r="H79" s="5">
        <f>IFERROR(AVERAGEIF(Workforce_Data!$D$2:$D$501,A79,Workforce_Data!$AC$2:$AC$501),0)</f>
        <v>21.5</v>
      </c>
      <c r="I79" s="5">
        <f>IFERROR(AVERAGEIF(Workforce_Data!$D$2:$D$501,A79,Workforce_Data!$AD$2:$AD$501),0)</f>
        <v>3.5</v>
      </c>
      <c r="J79" s="5">
        <f>COUNTIFS(Workforce_Data!$D$2:$D$501,A79,Workforce_Data!$AD$2:$AD$501,"&gt;0")</f>
        <v>4</v>
      </c>
      <c r="K79" s="5">
        <f>COUNTIFS(Workforce_Data!$D$2:$D$501,A79,Workforce_Data!$AD$2:$AD$501,"&lt;0")</f>
        <v>0</v>
      </c>
    </row>
    <row r="80" spans="1:11" x14ac:dyDescent="0.25">
      <c r="A80" t="s">
        <v>767</v>
      </c>
      <c r="B80" t="s">
        <v>768</v>
      </c>
      <c r="C80" s="5">
        <f>COUNTIF(Workforce_Data!$D$2:$D$501,A80)</f>
        <v>5</v>
      </c>
      <c r="D80" s="5">
        <f>IFERROR(AVERAGEIF(Workforce_Data!$D$2:$D$501,A80,Workforce_Data!$W$2:$W$501),0)</f>
        <v>115.97969387669329</v>
      </c>
      <c r="E80">
        <v>122.5300525920361</v>
      </c>
      <c r="F80" s="4">
        <f>IFERROR(AVERAGEIF(Workforce_Data!$D$2:$D$501,A80,Workforce_Data!$Z$2:$Z$501),0)</f>
        <v>1.0258012638973881</v>
      </c>
      <c r="G80" s="5">
        <f>IFERROR(AVERAGEIF(Workforce_Data!$D$2:$D$501,A80,Workforce_Data!$N$2:$N$501),0)</f>
        <v>20.2</v>
      </c>
      <c r="H80" s="5">
        <f>IFERROR(AVERAGEIF(Workforce_Data!$D$2:$D$501,A80,Workforce_Data!$AC$2:$AC$501),0)</f>
        <v>24.4</v>
      </c>
      <c r="I80" s="5">
        <f>IFERROR(AVERAGEIF(Workforce_Data!$D$2:$D$501,A80,Workforce_Data!$AD$2:$AD$501),0)</f>
        <v>4.2</v>
      </c>
      <c r="J80" s="5">
        <f>COUNTIFS(Workforce_Data!$D$2:$D$501,A80,Workforce_Data!$AD$2:$AD$501,"&gt;0")</f>
        <v>5</v>
      </c>
      <c r="K80" s="5">
        <f>COUNTIFS(Workforce_Data!$D$2:$D$501,A80,Workforce_Data!$AD$2:$AD$501,"&lt;0")</f>
        <v>0</v>
      </c>
    </row>
    <row r="81" spans="1:11" x14ac:dyDescent="0.25">
      <c r="A81" t="s">
        <v>466</v>
      </c>
      <c r="B81" t="s">
        <v>467</v>
      </c>
      <c r="C81" s="5">
        <f>COUNTIF(Workforce_Data!$D$2:$D$501,A81)</f>
        <v>4</v>
      </c>
      <c r="D81" s="5">
        <f>IFERROR(AVERAGEIF(Workforce_Data!$D$2:$D$501,A81,Workforce_Data!$W$2:$W$501),0)</f>
        <v>113.97444104354476</v>
      </c>
      <c r="E81">
        <v>119.3062982075721</v>
      </c>
      <c r="F81" s="4">
        <f>IFERROR(AVERAGEIF(Workforce_Data!$D$2:$D$501,A81,Workforce_Data!$Z$2:$Z$501),0)</f>
        <v>1.0265514994893947</v>
      </c>
      <c r="G81" s="5">
        <f>IFERROR(AVERAGEIF(Workforce_Data!$D$2:$D$501,A81,Workforce_Data!$N$2:$N$501),0)</f>
        <v>18</v>
      </c>
      <c r="H81" s="5">
        <f>IFERROR(AVERAGEIF(Workforce_Data!$D$2:$D$501,A81,Workforce_Data!$AC$2:$AC$501),0)</f>
        <v>21.25</v>
      </c>
      <c r="I81" s="5">
        <f>IFERROR(AVERAGEIF(Workforce_Data!$D$2:$D$501,A81,Workforce_Data!$AD$2:$AD$501),0)</f>
        <v>3.25</v>
      </c>
      <c r="J81" s="5">
        <f>COUNTIFS(Workforce_Data!$D$2:$D$501,A81,Workforce_Data!$AD$2:$AD$501,"&gt;0")</f>
        <v>4</v>
      </c>
      <c r="K81" s="5">
        <f>COUNTIFS(Workforce_Data!$D$2:$D$501,A81,Workforce_Data!$AD$2:$AD$501,"&lt;0")</f>
        <v>0</v>
      </c>
    </row>
    <row r="82" spans="1:11" x14ac:dyDescent="0.25">
      <c r="A82" t="s">
        <v>336</v>
      </c>
      <c r="B82" t="s">
        <v>337</v>
      </c>
      <c r="C82" s="5">
        <f>COUNTIF(Workforce_Data!$D$2:$D$501,A82)</f>
        <v>4</v>
      </c>
      <c r="D82" s="5">
        <f>IFERROR(AVERAGEIF(Workforce_Data!$D$2:$D$501,A82,Workforce_Data!$W$2:$W$501),0)</f>
        <v>76.407559442119236</v>
      </c>
      <c r="E82">
        <v>78.093111960503265</v>
      </c>
      <c r="F82" s="4">
        <f>IFERROR(AVERAGEIF(Workforce_Data!$D$2:$D$501,A82,Workforce_Data!$Z$2:$Z$501),0)</f>
        <v>0.68518753395279308</v>
      </c>
      <c r="G82" s="5">
        <f>IFERROR(AVERAGEIF(Workforce_Data!$D$2:$D$501,A82,Workforce_Data!$N$2:$N$501),0)</f>
        <v>19.25</v>
      </c>
      <c r="H82" s="5">
        <f>IFERROR(AVERAGEIF(Workforce_Data!$D$2:$D$501,A82,Workforce_Data!$AC$2:$AC$501),0)</f>
        <v>16.25</v>
      </c>
      <c r="I82" s="5">
        <f>IFERROR(AVERAGEIF(Workforce_Data!$D$2:$D$501,A82,Workforce_Data!$AD$2:$AD$501),0)</f>
        <v>-3</v>
      </c>
      <c r="J82" s="5">
        <f>COUNTIFS(Workforce_Data!$D$2:$D$501,A82,Workforce_Data!$AD$2:$AD$501,"&gt;0")</f>
        <v>0</v>
      </c>
      <c r="K82" s="5">
        <f>COUNTIFS(Workforce_Data!$D$2:$D$501,A82,Workforce_Data!$AD$2:$AD$501,"&lt;0")</f>
        <v>4</v>
      </c>
    </row>
    <row r="83" spans="1:11" x14ac:dyDescent="0.25">
      <c r="A83" t="s">
        <v>107</v>
      </c>
      <c r="B83" t="s">
        <v>108</v>
      </c>
      <c r="C83" s="5">
        <f>COUNTIF(Workforce_Data!$D$2:$D$501,A83)</f>
        <v>3</v>
      </c>
      <c r="D83" s="5">
        <f>IFERROR(AVERAGEIF(Workforce_Data!$D$2:$D$501,A83,Workforce_Data!$W$2:$W$501),0)</f>
        <v>119.63512994144486</v>
      </c>
      <c r="E83">
        <v>126.69654418030809</v>
      </c>
      <c r="F83" s="4">
        <f>IFERROR(AVERAGEIF(Workforce_Data!$D$2:$D$501,A83,Workforce_Data!$Z$2:$Z$501),0)</f>
        <v>1.0072612406852921</v>
      </c>
      <c r="G83" s="5">
        <f>IFERROR(AVERAGEIF(Workforce_Data!$D$2:$D$501,A83,Workforce_Data!$N$2:$N$501),0)</f>
        <v>21.333333333333332</v>
      </c>
      <c r="H83" s="5">
        <f>IFERROR(AVERAGEIF(Workforce_Data!$D$2:$D$501,A83,Workforce_Data!$AC$2:$AC$501),0)</f>
        <v>26</v>
      </c>
      <c r="I83" s="5">
        <f>IFERROR(AVERAGEIF(Workforce_Data!$D$2:$D$501,A83,Workforce_Data!$AD$2:$AD$501),0)</f>
        <v>4.666666666666667</v>
      </c>
      <c r="J83" s="5">
        <f>COUNTIFS(Workforce_Data!$D$2:$D$501,A83,Workforce_Data!$AD$2:$AD$501,"&gt;0")</f>
        <v>3</v>
      </c>
      <c r="K83" s="5">
        <f>COUNTIFS(Workforce_Data!$D$2:$D$501,A83,Workforce_Data!$AD$2:$AD$501,"&lt;0")</f>
        <v>0</v>
      </c>
    </row>
    <row r="84" spans="1:11" x14ac:dyDescent="0.25">
      <c r="A84" t="s">
        <v>542</v>
      </c>
      <c r="B84" t="s">
        <v>108</v>
      </c>
      <c r="C84" s="5">
        <f>COUNTIF(Workforce_Data!$D$2:$D$501,A84)</f>
        <v>8</v>
      </c>
      <c r="D84" s="5">
        <f>IFERROR(AVERAGEIF(Workforce_Data!$D$2:$D$501,A84,Workforce_Data!$W$2:$W$501),0)</f>
        <v>106.1483503298757</v>
      </c>
      <c r="E84">
        <v>109.6730921644112</v>
      </c>
      <c r="F84" s="4">
        <f>IFERROR(AVERAGEIF(Workforce_Data!$D$2:$D$501,A84,Workforce_Data!$Z$2:$Z$501),0)</f>
        <v>0.94174479750355289</v>
      </c>
      <c r="G84" s="5">
        <f>IFERROR(AVERAGEIF(Workforce_Data!$D$2:$D$501,A84,Workforce_Data!$N$2:$N$501),0)</f>
        <v>18.5</v>
      </c>
      <c r="H84" s="5">
        <f>IFERROR(AVERAGEIF(Workforce_Data!$D$2:$D$501,A84,Workforce_Data!$AC$2:$AC$501),0)</f>
        <v>20.75</v>
      </c>
      <c r="I84" s="5">
        <f>IFERROR(AVERAGEIF(Workforce_Data!$D$2:$D$501,A84,Workforce_Data!$AD$2:$AD$501),0)</f>
        <v>2.25</v>
      </c>
      <c r="J84" s="5">
        <f>COUNTIFS(Workforce_Data!$D$2:$D$501,A84,Workforce_Data!$AD$2:$AD$501,"&gt;0")</f>
        <v>7</v>
      </c>
      <c r="K84" s="5">
        <f>COUNTIFS(Workforce_Data!$D$2:$D$501,A84,Workforce_Data!$AD$2:$AD$501,"&lt;0")</f>
        <v>0</v>
      </c>
    </row>
    <row r="85" spans="1:11" x14ac:dyDescent="0.25">
      <c r="A85" t="s">
        <v>190</v>
      </c>
      <c r="B85" t="s">
        <v>108</v>
      </c>
      <c r="C85" s="5">
        <f>COUNTIF(Workforce_Data!$D$2:$D$501,A85)</f>
        <v>6</v>
      </c>
      <c r="D85" s="5">
        <f>IFERROR(AVERAGEIF(Workforce_Data!$D$2:$D$501,A85,Workforce_Data!$W$2:$W$501),0)</f>
        <v>112.83180956658816</v>
      </c>
      <c r="E85">
        <v>117.1662822467805</v>
      </c>
      <c r="F85" s="4">
        <f>IFERROR(AVERAGEIF(Workforce_Data!$D$2:$D$501,A85,Workforce_Data!$Z$2:$Z$501),0)</f>
        <v>0.97020907017898195</v>
      </c>
      <c r="G85" s="5">
        <f>IFERROR(AVERAGEIF(Workforce_Data!$D$2:$D$501,A85,Workforce_Data!$N$2:$N$501),0)</f>
        <v>20.666666666666668</v>
      </c>
      <c r="H85" s="5">
        <f>IFERROR(AVERAGEIF(Workforce_Data!$D$2:$D$501,A85,Workforce_Data!$AC$2:$AC$501),0)</f>
        <v>23.833333333333332</v>
      </c>
      <c r="I85" s="5">
        <f>IFERROR(AVERAGEIF(Workforce_Data!$D$2:$D$501,A85,Workforce_Data!$AD$2:$AD$501),0)</f>
        <v>3.1666666666666665</v>
      </c>
      <c r="J85" s="5">
        <f>COUNTIFS(Workforce_Data!$D$2:$D$501,A85,Workforce_Data!$AD$2:$AD$501,"&gt;0")</f>
        <v>6</v>
      </c>
      <c r="K85" s="5">
        <f>COUNTIFS(Workforce_Data!$D$2:$D$501,A85,Workforce_Data!$AD$2:$AD$501,"&lt;0")</f>
        <v>0</v>
      </c>
    </row>
    <row r="86" spans="1:11" x14ac:dyDescent="0.25">
      <c r="A86" t="s">
        <v>320</v>
      </c>
      <c r="B86" t="s">
        <v>321</v>
      </c>
      <c r="C86" s="5">
        <f>COUNTIF(Workforce_Data!$D$2:$D$501,A86)</f>
        <v>7</v>
      </c>
      <c r="D86" s="5">
        <f>IFERROR(AVERAGEIF(Workforce_Data!$D$2:$D$501,A86,Workforce_Data!$W$2:$W$501),0)</f>
        <v>106.58760772948553</v>
      </c>
      <c r="E86">
        <v>113.3022110794257</v>
      </c>
      <c r="F86" s="4">
        <f>IFERROR(AVERAGEIF(Workforce_Data!$D$2:$D$501,A86,Workforce_Data!$Z$2:$Z$501),0)</f>
        <v>0.918733796757362</v>
      </c>
      <c r="G86" s="5">
        <f>IFERROR(AVERAGEIF(Workforce_Data!$D$2:$D$501,A86,Workforce_Data!$N$2:$N$501),0)</f>
        <v>21</v>
      </c>
      <c r="H86" s="5">
        <f>IFERROR(AVERAGEIF(Workforce_Data!$D$2:$D$501,A86,Workforce_Data!$AC$2:$AC$501),0)</f>
        <v>25.142857142857142</v>
      </c>
      <c r="I86" s="5">
        <f>IFERROR(AVERAGEIF(Workforce_Data!$D$2:$D$501,A86,Workforce_Data!$AD$2:$AD$501),0)</f>
        <v>4.1428571428571432</v>
      </c>
      <c r="J86" s="5">
        <f>COUNTIFS(Workforce_Data!$D$2:$D$501,A86,Workforce_Data!$AD$2:$AD$501,"&gt;0")</f>
        <v>7</v>
      </c>
      <c r="K86" s="5">
        <f>COUNTIFS(Workforce_Data!$D$2:$D$501,A86,Workforce_Data!$AD$2:$AD$501,"&lt;0")</f>
        <v>0</v>
      </c>
    </row>
    <row r="87" spans="1:11" x14ac:dyDescent="0.25">
      <c r="A87" t="s">
        <v>152</v>
      </c>
      <c r="B87" t="s">
        <v>153</v>
      </c>
      <c r="C87" s="5">
        <f>COUNTIF(Workforce_Data!$D$2:$D$501,A87)</f>
        <v>9</v>
      </c>
      <c r="D87" s="5">
        <f>IFERROR(AVERAGEIF(Workforce_Data!$D$2:$D$501,A87,Workforce_Data!$W$2:$W$501),0)</f>
        <v>105.12781462173145</v>
      </c>
      <c r="E87">
        <v>111.70661131031009</v>
      </c>
      <c r="F87" s="4">
        <f>IFERROR(AVERAGEIF(Workforce_Data!$D$2:$D$501,A87,Workforce_Data!$Z$2:$Z$501),0)</f>
        <v>0.93802677471328699</v>
      </c>
      <c r="G87" s="5">
        <f>IFERROR(AVERAGEIF(Workforce_Data!$D$2:$D$501,A87,Workforce_Data!$N$2:$N$501),0)</f>
        <v>17.888888888888889</v>
      </c>
      <c r="H87" s="5">
        <f>IFERROR(AVERAGEIF(Workforce_Data!$D$2:$D$501,A87,Workforce_Data!$AC$2:$AC$501),0)</f>
        <v>21</v>
      </c>
      <c r="I87" s="5">
        <f>IFERROR(AVERAGEIF(Workforce_Data!$D$2:$D$501,A87,Workforce_Data!$AD$2:$AD$501),0)</f>
        <v>3.1111111111111112</v>
      </c>
      <c r="J87" s="5">
        <f>COUNTIFS(Workforce_Data!$D$2:$D$501,A87,Workforce_Data!$AD$2:$AD$501,"&gt;0")</f>
        <v>9</v>
      </c>
      <c r="K87" s="5">
        <f>COUNTIFS(Workforce_Data!$D$2:$D$501,A87,Workforce_Data!$AD$2:$AD$501,"&lt;0")</f>
        <v>0</v>
      </c>
    </row>
    <row r="88" spans="1:11" x14ac:dyDescent="0.25">
      <c r="A88" t="s">
        <v>667</v>
      </c>
      <c r="B88" t="s">
        <v>668</v>
      </c>
      <c r="C88" s="5">
        <f>COUNTIF(Workforce_Data!$D$2:$D$501,A88)</f>
        <v>5</v>
      </c>
      <c r="D88" s="5">
        <f>IFERROR(AVERAGEIF(Workforce_Data!$D$2:$D$501,A88,Workforce_Data!$W$2:$W$501),0)</f>
        <v>111.45507555777718</v>
      </c>
      <c r="E88">
        <v>113.03988995873451</v>
      </c>
      <c r="F88" s="4">
        <f>IFERROR(AVERAGEIF(Workforce_Data!$D$2:$D$501,A88,Workforce_Data!$Z$2:$Z$501),0)</f>
        <v>0.9785752964719292</v>
      </c>
      <c r="G88" s="5">
        <f>IFERROR(AVERAGEIF(Workforce_Data!$D$2:$D$501,A88,Workforce_Data!$N$2:$N$501),0)</f>
        <v>18.399999999999999</v>
      </c>
      <c r="H88" s="5">
        <f>IFERROR(AVERAGEIF(Workforce_Data!$D$2:$D$501,A88,Workforce_Data!$AC$2:$AC$501),0)</f>
        <v>21</v>
      </c>
      <c r="I88" s="5">
        <f>IFERROR(AVERAGEIF(Workforce_Data!$D$2:$D$501,A88,Workforce_Data!$AD$2:$AD$501),0)</f>
        <v>2.6</v>
      </c>
      <c r="J88" s="5">
        <f>COUNTIFS(Workforce_Data!$D$2:$D$501,A88,Workforce_Data!$AD$2:$AD$501,"&gt;0")</f>
        <v>5</v>
      </c>
      <c r="K88" s="5">
        <f>COUNTIFS(Workforce_Data!$D$2:$D$501,A88,Workforce_Data!$AD$2:$AD$501,"&lt;0")</f>
        <v>0</v>
      </c>
    </row>
    <row r="89" spans="1:11" x14ac:dyDescent="0.25">
      <c r="A89" t="s">
        <v>799</v>
      </c>
      <c r="B89" t="s">
        <v>800</v>
      </c>
      <c r="C89" s="5">
        <f>COUNTIF(Workforce_Data!$D$2:$D$501,A89)</f>
        <v>3</v>
      </c>
      <c r="D89" s="5">
        <f>IFERROR(AVERAGEIF(Workforce_Data!$D$2:$D$501,A89,Workforce_Data!$W$2:$W$501),0)</f>
        <v>109.15203696767873</v>
      </c>
      <c r="E89">
        <v>113.2616440348804</v>
      </c>
      <c r="F89" s="4">
        <f>IFERROR(AVERAGEIF(Workforce_Data!$D$2:$D$501,A89,Workforce_Data!$Z$2:$Z$501),0)</f>
        <v>0.9784240533465236</v>
      </c>
      <c r="G89" s="5">
        <f>IFERROR(AVERAGEIF(Workforce_Data!$D$2:$D$501,A89,Workforce_Data!$N$2:$N$501),0)</f>
        <v>20</v>
      </c>
      <c r="H89" s="5">
        <f>IFERROR(AVERAGEIF(Workforce_Data!$D$2:$D$501,A89,Workforce_Data!$AC$2:$AC$501),0)</f>
        <v>22</v>
      </c>
      <c r="I89" s="5">
        <f>IFERROR(AVERAGEIF(Workforce_Data!$D$2:$D$501,A89,Workforce_Data!$AD$2:$AD$501),0)</f>
        <v>2</v>
      </c>
      <c r="J89" s="5">
        <f>COUNTIFS(Workforce_Data!$D$2:$D$501,A89,Workforce_Data!$AD$2:$AD$501,"&gt;0")</f>
        <v>3</v>
      </c>
      <c r="K89" s="5">
        <f>COUNTIFS(Workforce_Data!$D$2:$D$501,A89,Workforce_Data!$AD$2:$AD$501,"&lt;0")</f>
        <v>0</v>
      </c>
    </row>
    <row r="90" spans="1:11" x14ac:dyDescent="0.25">
      <c r="A90" t="s">
        <v>371</v>
      </c>
      <c r="B90" t="s">
        <v>372</v>
      </c>
      <c r="C90" s="5">
        <f>COUNTIF(Workforce_Data!$D$2:$D$501,A90)</f>
        <v>4</v>
      </c>
      <c r="D90" s="5">
        <f>IFERROR(AVERAGEIF(Workforce_Data!$D$2:$D$501,A90,Workforce_Data!$W$2:$W$501),0)</f>
        <v>104.62445515007991</v>
      </c>
      <c r="E90">
        <v>112.8445160362789</v>
      </c>
      <c r="F90" s="4">
        <f>IFERROR(AVERAGEIF(Workforce_Data!$D$2:$D$501,A90,Workforce_Data!$Z$2:$Z$501),0)</f>
        <v>0.91498166466924535</v>
      </c>
      <c r="G90" s="5">
        <f>IFERROR(AVERAGEIF(Workforce_Data!$D$2:$D$501,A90,Workforce_Data!$N$2:$N$501),0)</f>
        <v>18.5</v>
      </c>
      <c r="H90" s="5">
        <f>IFERROR(AVERAGEIF(Workforce_Data!$D$2:$D$501,A90,Workforce_Data!$AC$2:$AC$501),0)</f>
        <v>20.75</v>
      </c>
      <c r="I90" s="5">
        <f>IFERROR(AVERAGEIF(Workforce_Data!$D$2:$D$501,A90,Workforce_Data!$AD$2:$AD$501),0)</f>
        <v>2.25</v>
      </c>
      <c r="J90" s="5">
        <f>COUNTIFS(Workforce_Data!$D$2:$D$501,A90,Workforce_Data!$AD$2:$AD$501,"&gt;0")</f>
        <v>4</v>
      </c>
      <c r="K90" s="5">
        <f>COUNTIFS(Workforce_Data!$D$2:$D$501,A90,Workforce_Data!$AD$2:$AD$501,"&lt;0")</f>
        <v>0</v>
      </c>
    </row>
    <row r="91" spans="1:11" x14ac:dyDescent="0.25">
      <c r="A91" t="s">
        <v>271</v>
      </c>
      <c r="B91" t="s">
        <v>272</v>
      </c>
      <c r="C91" s="5">
        <f>COUNTIF(Workforce_Data!$D$2:$D$501,A91)</f>
        <v>3</v>
      </c>
      <c r="D91" s="5">
        <f>IFERROR(AVERAGEIF(Workforce_Data!$D$2:$D$501,A91,Workforce_Data!$W$2:$W$501),0)</f>
        <v>82.068580359835224</v>
      </c>
      <c r="E91">
        <v>84.559259992085487</v>
      </c>
      <c r="F91" s="4">
        <f>IFERROR(AVERAGEIF(Workforce_Data!$D$2:$D$501,A91,Workforce_Data!$Z$2:$Z$501),0)</f>
        <v>0.75912533323712383</v>
      </c>
      <c r="G91" s="5">
        <f>IFERROR(AVERAGEIF(Workforce_Data!$D$2:$D$501,A91,Workforce_Data!$N$2:$N$501),0)</f>
        <v>17.666666666666668</v>
      </c>
      <c r="H91" s="5">
        <f>IFERROR(AVERAGEIF(Workforce_Data!$D$2:$D$501,A91,Workforce_Data!$AC$2:$AC$501),0)</f>
        <v>16.333333333333332</v>
      </c>
      <c r="I91" s="5">
        <f>IFERROR(AVERAGEIF(Workforce_Data!$D$2:$D$501,A91,Workforce_Data!$AD$2:$AD$501),0)</f>
        <v>-1.3333333333333333</v>
      </c>
      <c r="J91" s="5">
        <f>COUNTIFS(Workforce_Data!$D$2:$D$501,A91,Workforce_Data!$AD$2:$AD$501,"&gt;0")</f>
        <v>0</v>
      </c>
      <c r="K91" s="5">
        <f>COUNTIFS(Workforce_Data!$D$2:$D$501,A91,Workforce_Data!$AD$2:$AD$501,"&lt;0")</f>
        <v>3</v>
      </c>
    </row>
    <row r="92" spans="1:11" x14ac:dyDescent="0.25">
      <c r="A92" t="s">
        <v>198</v>
      </c>
      <c r="B92" t="s">
        <v>199</v>
      </c>
      <c r="C92" s="5">
        <f>COUNTIF(Workforce_Data!$D$2:$D$501,A92)</f>
        <v>5</v>
      </c>
      <c r="D92" s="5">
        <f>IFERROR(AVERAGEIF(Workforce_Data!$D$2:$D$501,A92,Workforce_Data!$W$2:$W$501),0)</f>
        <v>79.13909131959069</v>
      </c>
      <c r="E92">
        <v>84.649122807017534</v>
      </c>
      <c r="F92" s="4">
        <f>IFERROR(AVERAGEIF(Workforce_Data!$D$2:$D$501,A92,Workforce_Data!$Z$2:$Z$501),0)</f>
        <v>0.71080933985440498</v>
      </c>
      <c r="G92" s="5">
        <f>IFERROR(AVERAGEIF(Workforce_Data!$D$2:$D$501,A92,Workforce_Data!$N$2:$N$501),0)</f>
        <v>17.8</v>
      </c>
      <c r="H92" s="5">
        <f>IFERROR(AVERAGEIF(Workforce_Data!$D$2:$D$501,A92,Workforce_Data!$AC$2:$AC$501),0)</f>
        <v>16.399999999999999</v>
      </c>
      <c r="I92" s="5">
        <f>IFERROR(AVERAGEIF(Workforce_Data!$D$2:$D$501,A92,Workforce_Data!$AD$2:$AD$501),0)</f>
        <v>-1.4</v>
      </c>
      <c r="J92" s="5">
        <f>COUNTIFS(Workforce_Data!$D$2:$D$501,A92,Workforce_Data!$AD$2:$AD$501,"&gt;0")</f>
        <v>0</v>
      </c>
      <c r="K92" s="5">
        <f>COUNTIFS(Workforce_Data!$D$2:$D$501,A92,Workforce_Data!$AD$2:$AD$501,"&lt;0")</f>
        <v>4</v>
      </c>
    </row>
    <row r="93" spans="1:11" x14ac:dyDescent="0.25">
      <c r="A93" t="s">
        <v>293</v>
      </c>
      <c r="B93" t="s">
        <v>294</v>
      </c>
      <c r="C93" s="5">
        <f>COUNTIF(Workforce_Data!$D$2:$D$501,A93)</f>
        <v>4</v>
      </c>
      <c r="D93" s="5">
        <f>IFERROR(AVERAGEIF(Workforce_Data!$D$2:$D$501,A93,Workforce_Data!$W$2:$W$501),0)</f>
        <v>108.42404837040664</v>
      </c>
      <c r="E93">
        <v>112.3142657776024</v>
      </c>
      <c r="F93" s="4">
        <f>IFERROR(AVERAGEIF(Workforce_Data!$D$2:$D$501,A93,Workforce_Data!$Z$2:$Z$501),0)</f>
        <v>1.0059890391648123</v>
      </c>
      <c r="G93" s="5">
        <f>IFERROR(AVERAGEIF(Workforce_Data!$D$2:$D$501,A93,Workforce_Data!$N$2:$N$501),0)</f>
        <v>17</v>
      </c>
      <c r="H93" s="5">
        <f>IFERROR(AVERAGEIF(Workforce_Data!$D$2:$D$501,A93,Workforce_Data!$AC$2:$AC$501),0)</f>
        <v>21</v>
      </c>
      <c r="I93" s="5">
        <f>IFERROR(AVERAGEIF(Workforce_Data!$D$2:$D$501,A93,Workforce_Data!$AD$2:$AD$501),0)</f>
        <v>4</v>
      </c>
      <c r="J93" s="5">
        <f>COUNTIFS(Workforce_Data!$D$2:$D$501,A93,Workforce_Data!$AD$2:$AD$501,"&gt;0")</f>
        <v>4</v>
      </c>
      <c r="K93" s="5">
        <f>COUNTIFS(Workforce_Data!$D$2:$D$501,A93,Workforce_Data!$AD$2:$AD$501,"&lt;0")</f>
        <v>0</v>
      </c>
    </row>
    <row r="94" spans="1:11" x14ac:dyDescent="0.25">
      <c r="A94" t="s">
        <v>236</v>
      </c>
      <c r="B94" t="s">
        <v>237</v>
      </c>
      <c r="C94" s="5">
        <f>COUNTIF(Workforce_Data!$D$2:$D$501,A94)</f>
        <v>9</v>
      </c>
      <c r="D94" s="5">
        <f>IFERROR(AVERAGEIF(Workforce_Data!$D$2:$D$501,A94,Workforce_Data!$W$2:$W$501),0)</f>
        <v>109.69590910242728</v>
      </c>
      <c r="E94">
        <v>121.84856175972929</v>
      </c>
      <c r="F94" s="4">
        <f>IFERROR(AVERAGEIF(Workforce_Data!$D$2:$D$501,A94,Workforce_Data!$Z$2:$Z$501),0)</f>
        <v>0.98376542923402233</v>
      </c>
      <c r="G94" s="5">
        <f>IFERROR(AVERAGEIF(Workforce_Data!$D$2:$D$501,A94,Workforce_Data!$N$2:$N$501),0)</f>
        <v>18.333333333333332</v>
      </c>
      <c r="H94" s="5">
        <f>IFERROR(AVERAGEIF(Workforce_Data!$D$2:$D$501,A94,Workforce_Data!$AC$2:$AC$501),0)</f>
        <v>21.222222222222221</v>
      </c>
      <c r="I94" s="5">
        <f>IFERROR(AVERAGEIF(Workforce_Data!$D$2:$D$501,A94,Workforce_Data!$AD$2:$AD$501),0)</f>
        <v>2.8888888888888888</v>
      </c>
      <c r="J94" s="5">
        <f>COUNTIFS(Workforce_Data!$D$2:$D$501,A94,Workforce_Data!$AD$2:$AD$501,"&gt;0")</f>
        <v>9</v>
      </c>
      <c r="K94" s="5">
        <f>COUNTIFS(Workforce_Data!$D$2:$D$501,A94,Workforce_Data!$AD$2:$AD$501,"&lt;0")</f>
        <v>0</v>
      </c>
    </row>
    <row r="95" spans="1:11" x14ac:dyDescent="0.25">
      <c r="A95" t="s">
        <v>567</v>
      </c>
      <c r="B95" t="s">
        <v>568</v>
      </c>
      <c r="C95" s="5">
        <f>COUNTIF(Workforce_Data!$D$2:$D$501,A95)</f>
        <v>5</v>
      </c>
      <c r="D95" s="5">
        <f>IFERROR(AVERAGEIF(Workforce_Data!$D$2:$D$501,A95,Workforce_Data!$W$2:$W$501),0)</f>
        <v>108.63328194156342</v>
      </c>
      <c r="E95">
        <v>113.5894736842105</v>
      </c>
      <c r="F95" s="4">
        <f>IFERROR(AVERAGEIF(Workforce_Data!$D$2:$D$501,A95,Workforce_Data!$Z$2:$Z$501),0)</f>
        <v>0.96454231056534689</v>
      </c>
      <c r="G95" s="5">
        <f>IFERROR(AVERAGEIF(Workforce_Data!$D$2:$D$501,A95,Workforce_Data!$N$2:$N$501),0)</f>
        <v>18.2</v>
      </c>
      <c r="H95" s="5">
        <f>IFERROR(AVERAGEIF(Workforce_Data!$D$2:$D$501,A95,Workforce_Data!$AC$2:$AC$501),0)</f>
        <v>21.6</v>
      </c>
      <c r="I95" s="5">
        <f>IFERROR(AVERAGEIF(Workforce_Data!$D$2:$D$501,A95,Workforce_Data!$AD$2:$AD$501),0)</f>
        <v>3.4</v>
      </c>
      <c r="J95" s="5">
        <f>COUNTIFS(Workforce_Data!$D$2:$D$501,A95,Workforce_Data!$AD$2:$AD$501,"&gt;0")</f>
        <v>5</v>
      </c>
      <c r="K95" s="5">
        <f>COUNTIFS(Workforce_Data!$D$2:$D$501,A95,Workforce_Data!$AD$2:$AD$501,"&lt;0")</f>
        <v>0</v>
      </c>
    </row>
    <row r="96" spans="1:11" x14ac:dyDescent="0.25">
      <c r="A96" t="s">
        <v>130</v>
      </c>
      <c r="B96" t="s">
        <v>131</v>
      </c>
      <c r="C96" s="5">
        <f>COUNTIF(Workforce_Data!$D$2:$D$501,A96)</f>
        <v>5</v>
      </c>
      <c r="D96" s="5">
        <f>IFERROR(AVERAGEIF(Workforce_Data!$D$2:$D$501,A96,Workforce_Data!$W$2:$W$501),0)</f>
        <v>112.10562287467928</v>
      </c>
      <c r="E96">
        <v>115.6281920326864</v>
      </c>
      <c r="F96" s="4">
        <f>IFERROR(AVERAGEIF(Workforce_Data!$D$2:$D$501,A96,Workforce_Data!$Z$2:$Z$501),0)</f>
        <v>0.95569387050329868</v>
      </c>
      <c r="G96" s="5">
        <f>IFERROR(AVERAGEIF(Workforce_Data!$D$2:$D$501,A96,Workforce_Data!$N$2:$N$501),0)</f>
        <v>20.6</v>
      </c>
      <c r="H96" s="5">
        <f>IFERROR(AVERAGEIF(Workforce_Data!$D$2:$D$501,A96,Workforce_Data!$AC$2:$AC$501),0)</f>
        <v>25.4</v>
      </c>
      <c r="I96" s="5">
        <f>IFERROR(AVERAGEIF(Workforce_Data!$D$2:$D$501,A96,Workforce_Data!$AD$2:$AD$501),0)</f>
        <v>4.8</v>
      </c>
      <c r="J96" s="5">
        <f>COUNTIFS(Workforce_Data!$D$2:$D$501,A96,Workforce_Data!$AD$2:$AD$501,"&gt;0")</f>
        <v>5</v>
      </c>
      <c r="K96" s="5">
        <f>COUNTIFS(Workforce_Data!$D$2:$D$501,A96,Workforce_Data!$AD$2:$AD$501,"&lt;0")</f>
        <v>0</v>
      </c>
    </row>
    <row r="97" spans="1:11" x14ac:dyDescent="0.25">
      <c r="A97" t="s">
        <v>138</v>
      </c>
      <c r="B97" t="s">
        <v>139</v>
      </c>
      <c r="C97" s="5">
        <f>COUNTIF(Workforce_Data!$D$2:$D$501,A97)</f>
        <v>6</v>
      </c>
      <c r="D97" s="5">
        <f>IFERROR(AVERAGEIF(Workforce_Data!$D$2:$D$501,A97,Workforce_Data!$W$2:$W$501),0)</f>
        <v>113.49180437435837</v>
      </c>
      <c r="E97">
        <v>128.42246003603341</v>
      </c>
      <c r="F97" s="4">
        <f>IFERROR(AVERAGEIF(Workforce_Data!$D$2:$D$501,A97,Workforce_Data!$Z$2:$Z$501),0)</f>
        <v>0.97576213988133442</v>
      </c>
      <c r="G97" s="5">
        <f>IFERROR(AVERAGEIF(Workforce_Data!$D$2:$D$501,A97,Workforce_Data!$N$2:$N$501),0)</f>
        <v>20.666666666666668</v>
      </c>
      <c r="H97" s="5">
        <f>IFERROR(AVERAGEIF(Workforce_Data!$D$2:$D$501,A97,Workforce_Data!$AC$2:$AC$501),0)</f>
        <v>26.166666666666668</v>
      </c>
      <c r="I97" s="5">
        <f>IFERROR(AVERAGEIF(Workforce_Data!$D$2:$D$501,A97,Workforce_Data!$AD$2:$AD$501),0)</f>
        <v>5.5</v>
      </c>
      <c r="J97" s="5">
        <f>COUNTIFS(Workforce_Data!$D$2:$D$501,A97,Workforce_Data!$AD$2:$AD$501,"&gt;0")</f>
        <v>6</v>
      </c>
      <c r="K97" s="5">
        <f>COUNTIFS(Workforce_Data!$D$2:$D$501,A97,Workforce_Data!$AD$2:$AD$501,"&lt;0")</f>
        <v>0</v>
      </c>
    </row>
    <row r="98" spans="1:11" x14ac:dyDescent="0.25">
      <c r="A98" t="s">
        <v>248</v>
      </c>
      <c r="B98" t="s">
        <v>249</v>
      </c>
      <c r="C98" s="5">
        <f>COUNTIF(Workforce_Data!$D$2:$D$501,A98)</f>
        <v>3</v>
      </c>
      <c r="D98" s="5">
        <f>IFERROR(AVERAGEIF(Workforce_Data!$D$2:$D$501,A98,Workforce_Data!$W$2:$W$501),0)</f>
        <v>99.210924226141529</v>
      </c>
      <c r="E98">
        <v>103.3789806076889</v>
      </c>
      <c r="F98" s="4">
        <f>IFERROR(AVERAGEIF(Workforce_Data!$D$2:$D$501,A98,Workforce_Data!$Z$2:$Z$501),0)</f>
        <v>0.91437079835205293</v>
      </c>
      <c r="G98" s="5">
        <f>IFERROR(AVERAGEIF(Workforce_Data!$D$2:$D$501,A98,Workforce_Data!$N$2:$N$501),0)</f>
        <v>15.666666666666666</v>
      </c>
      <c r="H98" s="5">
        <f>IFERROR(AVERAGEIF(Workforce_Data!$D$2:$D$501,A98,Workforce_Data!$AC$2:$AC$501),0)</f>
        <v>18.333333333333332</v>
      </c>
      <c r="I98" s="5">
        <f>IFERROR(AVERAGEIF(Workforce_Data!$D$2:$D$501,A98,Workforce_Data!$AD$2:$AD$501),0)</f>
        <v>2.6666666666666665</v>
      </c>
      <c r="J98" s="5">
        <f>COUNTIFS(Workforce_Data!$D$2:$D$501,A98,Workforce_Data!$AD$2:$AD$501,"&gt;0")</f>
        <v>3</v>
      </c>
      <c r="K98" s="5">
        <f>COUNTIFS(Workforce_Data!$D$2:$D$501,A98,Workforce_Data!$AD$2:$AD$501,"&lt;0")</f>
        <v>0</v>
      </c>
    </row>
    <row r="99" spans="1:11" x14ac:dyDescent="0.25">
      <c r="A99" t="s">
        <v>146</v>
      </c>
      <c r="B99" t="s">
        <v>147</v>
      </c>
      <c r="C99" s="5">
        <f>COUNTIF(Workforce_Data!$D$2:$D$501,A99)</f>
        <v>2</v>
      </c>
      <c r="D99" s="5">
        <f>IFERROR(AVERAGEIF(Workforce_Data!$D$2:$D$501,A99,Workforce_Data!$W$2:$W$501),0)</f>
        <v>118.40497445107495</v>
      </c>
      <c r="E99">
        <v>124.7585731443919</v>
      </c>
      <c r="F99" s="4">
        <f>IFERROR(AVERAGEIF(Workforce_Data!$D$2:$D$501,A99,Workforce_Data!$Z$2:$Z$501),0)</f>
        <v>0.99312091357981935</v>
      </c>
      <c r="G99" s="5">
        <f>IFERROR(AVERAGEIF(Workforce_Data!$D$2:$D$501,A99,Workforce_Data!$N$2:$N$501),0)</f>
        <v>21</v>
      </c>
      <c r="H99" s="5">
        <f>IFERROR(AVERAGEIF(Workforce_Data!$D$2:$D$501,A99,Workforce_Data!$AC$2:$AC$501),0)</f>
        <v>26</v>
      </c>
      <c r="I99" s="5">
        <f>IFERROR(AVERAGEIF(Workforce_Data!$D$2:$D$501,A99,Workforce_Data!$AD$2:$AD$501),0)</f>
        <v>5</v>
      </c>
      <c r="J99" s="5">
        <f>COUNTIFS(Workforce_Data!$D$2:$D$501,A99,Workforce_Data!$AD$2:$AD$501,"&gt;0")</f>
        <v>2</v>
      </c>
      <c r="K99" s="5">
        <f>COUNTIFS(Workforce_Data!$D$2:$D$501,A99,Workforce_Data!$AD$2:$AD$501,"&lt;0")</f>
        <v>0</v>
      </c>
    </row>
    <row r="100" spans="1:11" x14ac:dyDescent="0.25">
      <c r="A100" t="s">
        <v>402</v>
      </c>
      <c r="B100" t="s">
        <v>403</v>
      </c>
      <c r="C100" s="5">
        <f>COUNTIF(Workforce_Data!$D$2:$D$501,A100)</f>
        <v>6</v>
      </c>
      <c r="D100" s="5">
        <f>IFERROR(AVERAGEIF(Workforce_Data!$D$2:$D$501,A100,Workforce_Data!$W$2:$W$501),0)</f>
        <v>101.46801715865165</v>
      </c>
      <c r="E100">
        <v>106.3548607678365</v>
      </c>
      <c r="F100" s="4">
        <f>IFERROR(AVERAGEIF(Workforce_Data!$D$2:$D$501,A100,Workforce_Data!$Z$2:$Z$501),0)</f>
        <v>0.92525037033651769</v>
      </c>
      <c r="G100" s="5">
        <f>IFERROR(AVERAGEIF(Workforce_Data!$D$2:$D$501,A100,Workforce_Data!$N$2:$N$501),0)</f>
        <v>17.5</v>
      </c>
      <c r="H100" s="5">
        <f>IFERROR(AVERAGEIF(Workforce_Data!$D$2:$D$501,A100,Workforce_Data!$AC$2:$AC$501),0)</f>
        <v>21</v>
      </c>
      <c r="I100" s="5">
        <f>IFERROR(AVERAGEIF(Workforce_Data!$D$2:$D$501,A100,Workforce_Data!$AD$2:$AD$501),0)</f>
        <v>3.5</v>
      </c>
      <c r="J100" s="5">
        <f>COUNTIFS(Workforce_Data!$D$2:$D$501,A100,Workforce_Data!$AD$2:$AD$501,"&gt;0")</f>
        <v>6</v>
      </c>
      <c r="K100" s="5">
        <f>COUNTIFS(Workforce_Data!$D$2:$D$501,A100,Workforce_Data!$AD$2:$AD$501,"&lt;0")</f>
        <v>0</v>
      </c>
    </row>
    <row r="101" spans="1:11" x14ac:dyDescent="0.25">
      <c r="A101" t="s">
        <v>53</v>
      </c>
      <c r="B101" t="s">
        <v>54</v>
      </c>
      <c r="C101" s="5">
        <f>COUNTIF(Workforce_Data!$D$2:$D$501,A101)</f>
        <v>8</v>
      </c>
      <c r="D101" s="5">
        <f>IFERROR(AVERAGEIF(Workforce_Data!$D$2:$D$501,A101,Workforce_Data!$W$2:$W$501),0)</f>
        <v>108.21683547210056</v>
      </c>
      <c r="E101">
        <v>112.72628492085499</v>
      </c>
      <c r="F101" s="4">
        <f>IFERROR(AVERAGEIF(Workforce_Data!$D$2:$D$501,A101,Workforce_Data!$Z$2:$Z$501),0)</f>
        <v>0.97351073862267468</v>
      </c>
      <c r="G101" s="5">
        <f>IFERROR(AVERAGEIF(Workforce_Data!$D$2:$D$501,A101,Workforce_Data!$N$2:$N$501),0)</f>
        <v>18</v>
      </c>
      <c r="H101" s="5">
        <f>IFERROR(AVERAGEIF(Workforce_Data!$D$2:$D$501,A101,Workforce_Data!$AC$2:$AC$501),0)</f>
        <v>22</v>
      </c>
      <c r="I101" s="5">
        <f>IFERROR(AVERAGEIF(Workforce_Data!$D$2:$D$501,A101,Workforce_Data!$AD$2:$AD$501),0)</f>
        <v>4</v>
      </c>
      <c r="J101" s="5">
        <f>COUNTIFS(Workforce_Data!$D$2:$D$501,A101,Workforce_Data!$AD$2:$AD$501,"&gt;0")</f>
        <v>8</v>
      </c>
      <c r="K101" s="5">
        <f>COUNTIFS(Workforce_Data!$D$2:$D$501,A101,Workforce_Data!$AD$2:$AD$501,"&lt;0")</f>
        <v>0</v>
      </c>
    </row>
    <row r="102" spans="1:11" x14ac:dyDescent="0.25">
      <c r="A102" t="s">
        <v>363</v>
      </c>
      <c r="B102" t="s">
        <v>364</v>
      </c>
      <c r="C102" s="5">
        <f>COUNTIF(Workforce_Data!$D$2:$D$501,A102)</f>
        <v>5</v>
      </c>
      <c r="D102" s="5">
        <f>IFERROR(AVERAGEIF(Workforce_Data!$D$2:$D$501,A102,Workforce_Data!$W$2:$W$501),0)</f>
        <v>73.984240490811047</v>
      </c>
      <c r="E102">
        <v>75.620369281430087</v>
      </c>
      <c r="F102" s="4">
        <f>IFERROR(AVERAGEIF(Workforce_Data!$D$2:$D$501,A102,Workforce_Data!$Z$2:$Z$501),0)</f>
        <v>0.65529079023237125</v>
      </c>
      <c r="G102" s="5">
        <f>IFERROR(AVERAGEIF(Workforce_Data!$D$2:$D$501,A102,Workforce_Data!$N$2:$N$501),0)</f>
        <v>21</v>
      </c>
      <c r="H102" s="5">
        <f>IFERROR(AVERAGEIF(Workforce_Data!$D$2:$D$501,A102,Workforce_Data!$AC$2:$AC$501),0)</f>
        <v>17.2</v>
      </c>
      <c r="I102" s="5">
        <f>IFERROR(AVERAGEIF(Workforce_Data!$D$2:$D$501,A102,Workforce_Data!$AD$2:$AD$501),0)</f>
        <v>-3.8</v>
      </c>
      <c r="J102" s="5">
        <f>COUNTIFS(Workforce_Data!$D$2:$D$501,A102,Workforce_Data!$AD$2:$AD$501,"&gt;0")</f>
        <v>0</v>
      </c>
      <c r="K102" s="5">
        <f>COUNTIFS(Workforce_Data!$D$2:$D$501,A102,Workforce_Data!$AD$2:$AD$501,"&lt;0")</f>
        <v>5</v>
      </c>
    </row>
  </sheetData>
  <mergeCells count="1">
    <mergeCell ref="A1:K1"/>
  </mergeCells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zoomScaleNormal="100" workbookViewId="0">
      <selection activeCell="D11" sqref="D11"/>
    </sheetView>
  </sheetViews>
  <sheetFormatPr defaultRowHeight="15" x14ac:dyDescent="0.25"/>
  <cols>
    <col min="1" max="1" width="36" customWidth="1"/>
    <col min="2" max="2" width="22" customWidth="1"/>
    <col min="3" max="3" width="10.140625" customWidth="1"/>
    <col min="4" max="4" width="42" customWidth="1"/>
    <col min="5" max="5" width="24" customWidth="1"/>
    <col min="6" max="6" width="28" customWidth="1"/>
    <col min="8" max="10" width="13" hidden="1" customWidth="1"/>
  </cols>
  <sheetData>
    <row r="1" spans="1:10" ht="23.25" x14ac:dyDescent="0.35">
      <c r="A1" s="31" t="s">
        <v>1261</v>
      </c>
      <c r="B1" s="31"/>
      <c r="C1" s="31"/>
      <c r="D1" s="31"/>
      <c r="E1" s="31"/>
      <c r="F1" s="31"/>
      <c r="H1" t="s">
        <v>115</v>
      </c>
      <c r="I1" t="s">
        <v>42</v>
      </c>
      <c r="J1" t="s">
        <v>36</v>
      </c>
    </row>
    <row r="2" spans="1:10" x14ac:dyDescent="0.25">
      <c r="H2" t="s">
        <v>549</v>
      </c>
      <c r="I2" t="s">
        <v>49</v>
      </c>
      <c r="J2" t="s">
        <v>43</v>
      </c>
    </row>
    <row r="3" spans="1:10" ht="18.75" x14ac:dyDescent="0.3">
      <c r="A3" s="14" t="s">
        <v>1305</v>
      </c>
      <c r="B3" s="15" t="s">
        <v>1306</v>
      </c>
      <c r="D3" s="32" t="s">
        <v>1304</v>
      </c>
      <c r="E3" s="29"/>
      <c r="F3" s="29"/>
      <c r="H3" t="s">
        <v>123</v>
      </c>
      <c r="I3" t="s">
        <v>55</v>
      </c>
      <c r="J3" t="s">
        <v>79</v>
      </c>
    </row>
    <row r="4" spans="1:10" x14ac:dyDescent="0.25">
      <c r="A4" s="12" t="s">
        <v>1262</v>
      </c>
      <c r="B4" s="13" t="s">
        <v>216</v>
      </c>
      <c r="D4" s="12" t="s">
        <v>1303</v>
      </c>
      <c r="E4" s="16">
        <f>SUMIFS($D:$D,$A:$A,$B$5,$B:$B,$B$6)</f>
        <v>118.01656521145939</v>
      </c>
      <c r="H4" t="s">
        <v>346</v>
      </c>
      <c r="I4" t="s">
        <v>68</v>
      </c>
    </row>
    <row r="5" spans="1:10" x14ac:dyDescent="0.25">
      <c r="A5" s="12" t="s">
        <v>1263</v>
      </c>
      <c r="B5" s="13" t="s">
        <v>35</v>
      </c>
      <c r="D5" s="12" t="s">
        <v>1264</v>
      </c>
      <c r="E5" s="16">
        <f>MAX(0.1,B8-B9/60)</f>
        <v>7.5</v>
      </c>
      <c r="H5" t="s">
        <v>170</v>
      </c>
      <c r="I5" t="s">
        <v>35</v>
      </c>
    </row>
    <row r="6" spans="1:10" x14ac:dyDescent="0.25">
      <c r="A6" s="12" t="s">
        <v>6</v>
      </c>
      <c r="B6" s="13" t="s">
        <v>43</v>
      </c>
      <c r="D6" s="12" t="s">
        <v>1265</v>
      </c>
      <c r="E6" s="16">
        <f>IFERROR(B7/E4,0)</f>
        <v>84.733867504805175</v>
      </c>
      <c r="H6" t="s">
        <v>554</v>
      </c>
    </row>
    <row r="7" spans="1:10" ht="18.75" x14ac:dyDescent="0.3">
      <c r="A7" s="12" t="s">
        <v>1266</v>
      </c>
      <c r="B7" s="13">
        <v>10000</v>
      </c>
      <c r="D7" s="12" t="s">
        <v>1302</v>
      </c>
      <c r="E7" s="17">
        <f>CEILING(E6/E5,1)</f>
        <v>12</v>
      </c>
      <c r="H7" t="s">
        <v>332</v>
      </c>
    </row>
    <row r="8" spans="1:10" x14ac:dyDescent="0.25">
      <c r="A8" s="12" t="s">
        <v>1267</v>
      </c>
      <c r="B8" s="13">
        <v>8</v>
      </c>
      <c r="H8" t="s">
        <v>297</v>
      </c>
    </row>
    <row r="9" spans="1:10" x14ac:dyDescent="0.25">
      <c r="A9" s="12" t="s">
        <v>1268</v>
      </c>
      <c r="B9" s="13">
        <v>30</v>
      </c>
      <c r="H9" t="s">
        <v>186</v>
      </c>
    </row>
    <row r="10" spans="1:10" x14ac:dyDescent="0.25">
      <c r="H10" t="s">
        <v>224</v>
      </c>
    </row>
    <row r="11" spans="1:10" x14ac:dyDescent="0.25">
      <c r="H11" t="s">
        <v>103</v>
      </c>
    </row>
    <row r="12" spans="1:10" x14ac:dyDescent="0.25">
      <c r="H12" t="s">
        <v>355</v>
      </c>
    </row>
    <row r="13" spans="1:10" ht="15.75" x14ac:dyDescent="0.25">
      <c r="A13" s="30" t="s">
        <v>1301</v>
      </c>
      <c r="B13" s="29"/>
      <c r="C13" s="29"/>
      <c r="D13" s="29"/>
      <c r="E13" s="29"/>
      <c r="F13" s="29"/>
      <c r="H13" t="s">
        <v>174</v>
      </c>
    </row>
    <row r="14" spans="1:10" s="15" customFormat="1" x14ac:dyDescent="0.25">
      <c r="A14" s="27" t="s">
        <v>1263</v>
      </c>
      <c r="B14" s="27" t="s">
        <v>6</v>
      </c>
      <c r="C14" s="27" t="s">
        <v>1234</v>
      </c>
      <c r="D14" s="27" t="s">
        <v>1300</v>
      </c>
      <c r="E14" s="27" t="s">
        <v>1299</v>
      </c>
      <c r="F14" s="27" t="s">
        <v>1245</v>
      </c>
      <c r="H14" s="15" t="s">
        <v>95</v>
      </c>
    </row>
    <row r="15" spans="1:10" x14ac:dyDescent="0.25">
      <c r="A15" s="5" t="s">
        <v>42</v>
      </c>
      <c r="B15" s="5" t="s">
        <v>36</v>
      </c>
      <c r="C15" s="5">
        <v>38</v>
      </c>
      <c r="D15" s="5">
        <v>112.98347693798689</v>
      </c>
      <c r="E15" s="5">
        <v>32.184210526315788</v>
      </c>
      <c r="F15" s="5" t="s">
        <v>1246</v>
      </c>
      <c r="H15" t="s">
        <v>448</v>
      </c>
    </row>
    <row r="16" spans="1:10" x14ac:dyDescent="0.25">
      <c r="A16" s="5" t="s">
        <v>42</v>
      </c>
      <c r="B16" s="5" t="s">
        <v>43</v>
      </c>
      <c r="C16" s="5">
        <v>53</v>
      </c>
      <c r="D16" s="5">
        <v>115.1855592022217</v>
      </c>
      <c r="E16" s="5">
        <v>34.283018867924532</v>
      </c>
      <c r="F16" s="5" t="s">
        <v>1247</v>
      </c>
      <c r="H16" t="s">
        <v>208</v>
      </c>
    </row>
    <row r="17" spans="1:8" x14ac:dyDescent="0.25">
      <c r="A17" s="5" t="s">
        <v>42</v>
      </c>
      <c r="B17" s="5" t="s">
        <v>79</v>
      </c>
      <c r="C17" s="5">
        <v>17</v>
      </c>
      <c r="D17" s="5">
        <v>99.399922570654283</v>
      </c>
      <c r="E17" s="5">
        <v>33.470588235294123</v>
      </c>
      <c r="F17" s="5" t="s">
        <v>1248</v>
      </c>
      <c r="H17" t="s">
        <v>737</v>
      </c>
    </row>
    <row r="18" spans="1:8" x14ac:dyDescent="0.25">
      <c r="A18" s="5" t="s">
        <v>49</v>
      </c>
      <c r="B18" s="5" t="s">
        <v>36</v>
      </c>
      <c r="C18" s="5">
        <v>37</v>
      </c>
      <c r="D18" s="5">
        <v>118.4084783141387</v>
      </c>
      <c r="E18" s="5">
        <v>35.594594594594597</v>
      </c>
      <c r="F18" s="5" t="s">
        <v>1249</v>
      </c>
      <c r="H18" t="s">
        <v>287</v>
      </c>
    </row>
    <row r="19" spans="1:8" x14ac:dyDescent="0.25">
      <c r="A19" s="5" t="s">
        <v>49</v>
      </c>
      <c r="B19" s="5" t="s">
        <v>43</v>
      </c>
      <c r="C19" s="5">
        <v>44</v>
      </c>
      <c r="D19" s="5">
        <v>124.78240035826239</v>
      </c>
      <c r="E19" s="5">
        <v>31.79545454545455</v>
      </c>
      <c r="F19" s="5" t="s">
        <v>1250</v>
      </c>
      <c r="H19" t="s">
        <v>783</v>
      </c>
    </row>
    <row r="20" spans="1:8" x14ac:dyDescent="0.25">
      <c r="A20" s="5" t="s">
        <v>49</v>
      </c>
      <c r="B20" s="5" t="s">
        <v>79</v>
      </c>
      <c r="C20" s="5">
        <v>16</v>
      </c>
      <c r="D20" s="5">
        <v>107.36289227751951</v>
      </c>
      <c r="E20" s="5">
        <v>38.6875</v>
      </c>
      <c r="F20" s="5" t="s">
        <v>1251</v>
      </c>
      <c r="H20" t="s">
        <v>134</v>
      </c>
    </row>
    <row r="21" spans="1:8" x14ac:dyDescent="0.25">
      <c r="A21" s="5" t="s">
        <v>55</v>
      </c>
      <c r="B21" s="5" t="s">
        <v>36</v>
      </c>
      <c r="C21" s="5">
        <v>43</v>
      </c>
      <c r="D21" s="5">
        <v>108.32817332835501</v>
      </c>
      <c r="E21" s="5">
        <v>31.813953488372089</v>
      </c>
      <c r="F21" s="5" t="s">
        <v>1252</v>
      </c>
      <c r="H21" t="s">
        <v>309</v>
      </c>
    </row>
    <row r="22" spans="1:8" x14ac:dyDescent="0.25">
      <c r="A22" s="5" t="s">
        <v>55</v>
      </c>
      <c r="B22" s="5" t="s">
        <v>43</v>
      </c>
      <c r="C22" s="5">
        <v>52</v>
      </c>
      <c r="D22" s="5">
        <v>109.38855294136761</v>
      </c>
      <c r="E22" s="5">
        <v>31.23076923076923</v>
      </c>
      <c r="F22" s="5" t="s">
        <v>1253</v>
      </c>
      <c r="H22" t="s">
        <v>193</v>
      </c>
    </row>
    <row r="23" spans="1:8" s="5" customFormat="1" x14ac:dyDescent="0.25">
      <c r="A23" s="21" t="s">
        <v>68</v>
      </c>
      <c r="B23" s="22" t="s">
        <v>36</v>
      </c>
      <c r="C23" s="22">
        <v>28</v>
      </c>
      <c r="D23" s="22">
        <v>120.8174989437542</v>
      </c>
      <c r="E23" s="22">
        <v>25.5</v>
      </c>
      <c r="F23" s="23" t="s">
        <v>1255</v>
      </c>
    </row>
    <row r="24" spans="1:8" s="5" customFormat="1" x14ac:dyDescent="0.25">
      <c r="A24" s="18" t="s">
        <v>68</v>
      </c>
      <c r="B24" s="19" t="s">
        <v>43</v>
      </c>
      <c r="C24" s="19">
        <v>34</v>
      </c>
      <c r="D24" s="19">
        <v>128.22014138735929</v>
      </c>
      <c r="E24" s="19">
        <v>33.941176470588232</v>
      </c>
      <c r="F24" s="20" t="s">
        <v>1256</v>
      </c>
    </row>
    <row r="25" spans="1:8" s="5" customFormat="1" x14ac:dyDescent="0.25">
      <c r="A25" s="21" t="s">
        <v>68</v>
      </c>
      <c r="B25" s="22" t="s">
        <v>79</v>
      </c>
      <c r="C25" s="22">
        <v>18</v>
      </c>
      <c r="D25" s="22">
        <v>114.6579540175248</v>
      </c>
      <c r="E25" s="22">
        <v>28.166666666666671</v>
      </c>
      <c r="F25" s="23" t="s">
        <v>1257</v>
      </c>
    </row>
    <row r="26" spans="1:8" s="5" customFormat="1" x14ac:dyDescent="0.25">
      <c r="A26" s="18" t="s">
        <v>35</v>
      </c>
      <c r="B26" s="19" t="s">
        <v>36</v>
      </c>
      <c r="C26" s="19">
        <v>33</v>
      </c>
      <c r="D26" s="19">
        <v>114.1563708384419</v>
      </c>
      <c r="E26" s="19">
        <v>30.030303030303031</v>
      </c>
      <c r="F26" s="20" t="s">
        <v>1258</v>
      </c>
    </row>
    <row r="27" spans="1:8" s="5" customFormat="1" x14ac:dyDescent="0.25">
      <c r="A27" s="21" t="s">
        <v>35</v>
      </c>
      <c r="B27" s="22" t="s">
        <v>43</v>
      </c>
      <c r="C27" s="22">
        <v>58</v>
      </c>
      <c r="D27" s="22">
        <v>118.01656521145939</v>
      </c>
      <c r="E27" s="22">
        <v>34.5</v>
      </c>
      <c r="F27" s="23" t="s">
        <v>1259</v>
      </c>
    </row>
    <row r="28" spans="1:8" s="5" customFormat="1" x14ac:dyDescent="0.25">
      <c r="A28" s="24" t="s">
        <v>35</v>
      </c>
      <c r="B28" s="25" t="s">
        <v>79</v>
      </c>
      <c r="C28" s="25">
        <v>10</v>
      </c>
      <c r="D28" s="25">
        <v>100.6650131940286</v>
      </c>
      <c r="E28" s="25">
        <v>34.4</v>
      </c>
      <c r="F28" s="26" t="s">
        <v>1260</v>
      </c>
    </row>
    <row r="29" spans="1:8" x14ac:dyDescent="0.25">
      <c r="H29" t="s">
        <v>359</v>
      </c>
    </row>
    <row r="30" spans="1:8" x14ac:dyDescent="0.25">
      <c r="H30" t="s">
        <v>182</v>
      </c>
    </row>
    <row r="31" spans="1:8" ht="15.75" x14ac:dyDescent="0.25">
      <c r="A31" s="30" t="s">
        <v>1298</v>
      </c>
      <c r="B31" s="29"/>
      <c r="C31" s="29"/>
      <c r="D31" s="29"/>
      <c r="E31" s="29"/>
      <c r="F31" s="29"/>
      <c r="H31" t="s">
        <v>398</v>
      </c>
    </row>
    <row r="32" spans="1:8" x14ac:dyDescent="0.25">
      <c r="A32" s="29" t="s">
        <v>1297</v>
      </c>
      <c r="B32" s="29"/>
      <c r="C32" s="29"/>
      <c r="D32" s="29"/>
      <c r="E32" s="29"/>
      <c r="F32" s="29"/>
      <c r="H32" t="s">
        <v>220</v>
      </c>
    </row>
    <row r="33" spans="1:8" x14ac:dyDescent="0.25">
      <c r="A33" s="29" t="s">
        <v>1296</v>
      </c>
      <c r="B33" s="29"/>
      <c r="C33" s="29"/>
      <c r="D33" s="29"/>
      <c r="E33" s="29"/>
      <c r="F33" s="29"/>
      <c r="H33" t="s">
        <v>72</v>
      </c>
    </row>
    <row r="34" spans="1:8" x14ac:dyDescent="0.25">
      <c r="A34" s="29" t="s">
        <v>1295</v>
      </c>
      <c r="B34" s="29"/>
      <c r="C34" s="29"/>
      <c r="D34" s="29"/>
      <c r="E34" s="29"/>
      <c r="F34" s="29"/>
      <c r="H34" t="s">
        <v>312</v>
      </c>
    </row>
    <row r="35" spans="1:8" x14ac:dyDescent="0.25">
      <c r="A35" s="29" t="s">
        <v>1294</v>
      </c>
      <c r="B35" s="29"/>
      <c r="C35" s="29"/>
      <c r="D35" s="29"/>
      <c r="E35" s="29"/>
      <c r="F35" s="29"/>
      <c r="H35" t="s">
        <v>66</v>
      </c>
    </row>
    <row r="36" spans="1:8" x14ac:dyDescent="0.25">
      <c r="A36" s="29" t="s">
        <v>1293</v>
      </c>
      <c r="B36" s="29"/>
      <c r="C36" s="29"/>
      <c r="D36" s="29"/>
      <c r="E36" s="29"/>
      <c r="F36" s="29"/>
      <c r="H36" t="s">
        <v>303</v>
      </c>
    </row>
    <row r="37" spans="1:8" x14ac:dyDescent="0.25">
      <c r="A37" s="29" t="s">
        <v>1292</v>
      </c>
      <c r="B37" s="29"/>
      <c r="C37" s="29"/>
      <c r="D37" s="29"/>
      <c r="E37" s="29"/>
      <c r="F37" s="29"/>
      <c r="H37" t="s">
        <v>77</v>
      </c>
    </row>
    <row r="38" spans="1:8" x14ac:dyDescent="0.25">
      <c r="H38" t="s">
        <v>528</v>
      </c>
    </row>
    <row r="39" spans="1:8" x14ac:dyDescent="0.25">
      <c r="H39" t="s">
        <v>62</v>
      </c>
    </row>
    <row r="40" spans="1:8" x14ac:dyDescent="0.25">
      <c r="H40" t="s">
        <v>204</v>
      </c>
    </row>
    <row r="41" spans="1:8" x14ac:dyDescent="0.25">
      <c r="H41" t="s">
        <v>160</v>
      </c>
    </row>
    <row r="42" spans="1:8" x14ac:dyDescent="0.25">
      <c r="H42" t="s">
        <v>1033</v>
      </c>
    </row>
    <row r="43" spans="1:8" x14ac:dyDescent="0.25">
      <c r="H43" t="s">
        <v>40</v>
      </c>
    </row>
    <row r="44" spans="1:8" x14ac:dyDescent="0.25">
      <c r="H44" t="s">
        <v>261</v>
      </c>
    </row>
    <row r="45" spans="1:8" x14ac:dyDescent="0.25">
      <c r="H45" t="s">
        <v>99</v>
      </c>
    </row>
    <row r="46" spans="1:8" x14ac:dyDescent="0.25">
      <c r="H46" t="s">
        <v>352</v>
      </c>
    </row>
    <row r="47" spans="1:8" x14ac:dyDescent="0.25">
      <c r="H47" t="s">
        <v>156</v>
      </c>
    </row>
    <row r="48" spans="1:8" x14ac:dyDescent="0.25">
      <c r="H48" t="s">
        <v>254</v>
      </c>
    </row>
    <row r="49" spans="8:8" x14ac:dyDescent="0.25">
      <c r="H49" t="s">
        <v>228</v>
      </c>
    </row>
    <row r="50" spans="8:8" x14ac:dyDescent="0.25">
      <c r="H50" t="s">
        <v>599</v>
      </c>
    </row>
    <row r="51" spans="8:8" x14ac:dyDescent="0.25">
      <c r="H51" t="s">
        <v>516</v>
      </c>
    </row>
    <row r="52" spans="8:8" x14ac:dyDescent="0.25">
      <c r="H52" t="s">
        <v>440</v>
      </c>
    </row>
    <row r="53" spans="8:8" x14ac:dyDescent="0.25">
      <c r="H53" t="s">
        <v>111</v>
      </c>
    </row>
    <row r="54" spans="8:8" x14ac:dyDescent="0.25">
      <c r="H54" t="s">
        <v>827</v>
      </c>
    </row>
    <row r="55" spans="8:8" x14ac:dyDescent="0.25">
      <c r="H55" t="s">
        <v>82</v>
      </c>
    </row>
    <row r="56" spans="8:8" x14ac:dyDescent="0.25">
      <c r="H56" t="s">
        <v>522</v>
      </c>
    </row>
    <row r="57" spans="8:8" x14ac:dyDescent="0.25">
      <c r="H57" t="s">
        <v>275</v>
      </c>
    </row>
    <row r="58" spans="8:8" x14ac:dyDescent="0.25">
      <c r="H58" t="s">
        <v>86</v>
      </c>
    </row>
    <row r="59" spans="8:8" x14ac:dyDescent="0.25">
      <c r="H59" t="s">
        <v>841</v>
      </c>
    </row>
    <row r="60" spans="8:8" x14ac:dyDescent="0.25">
      <c r="H60" t="s">
        <v>999</v>
      </c>
    </row>
    <row r="61" spans="8:8" x14ac:dyDescent="0.25">
      <c r="H61" t="s">
        <v>917</v>
      </c>
    </row>
    <row r="62" spans="8:8" x14ac:dyDescent="0.25">
      <c r="H62" t="s">
        <v>751</v>
      </c>
    </row>
    <row r="63" spans="8:8" x14ac:dyDescent="0.25">
      <c r="H63" t="s">
        <v>33</v>
      </c>
    </row>
    <row r="64" spans="8:8" x14ac:dyDescent="0.25">
      <c r="H64" t="s">
        <v>869</v>
      </c>
    </row>
    <row r="65" spans="8:8" x14ac:dyDescent="0.25">
      <c r="H65" t="s">
        <v>58</v>
      </c>
    </row>
    <row r="66" spans="8:8" x14ac:dyDescent="0.25">
      <c r="H66" t="s">
        <v>558</v>
      </c>
    </row>
    <row r="67" spans="8:8" x14ac:dyDescent="0.25">
      <c r="H67" t="s">
        <v>142</v>
      </c>
    </row>
    <row r="68" spans="8:8" x14ac:dyDescent="0.25">
      <c r="H68" t="s">
        <v>395</v>
      </c>
    </row>
    <row r="69" spans="8:8" x14ac:dyDescent="0.25">
      <c r="H69" t="s">
        <v>257</v>
      </c>
    </row>
    <row r="70" spans="8:8" x14ac:dyDescent="0.25">
      <c r="H70" t="s">
        <v>342</v>
      </c>
    </row>
    <row r="71" spans="8:8" x14ac:dyDescent="0.25">
      <c r="H71" t="s">
        <v>953</v>
      </c>
    </row>
    <row r="72" spans="8:8" x14ac:dyDescent="0.25">
      <c r="H72" t="s">
        <v>685</v>
      </c>
    </row>
    <row r="73" spans="8:8" x14ac:dyDescent="0.25">
      <c r="H73" t="s">
        <v>216</v>
      </c>
    </row>
    <row r="74" spans="8:8" x14ac:dyDescent="0.25">
      <c r="H74" t="s">
        <v>324</v>
      </c>
    </row>
    <row r="75" spans="8:8" x14ac:dyDescent="0.25">
      <c r="H75" t="s">
        <v>47</v>
      </c>
    </row>
    <row r="76" spans="8:8" x14ac:dyDescent="0.25">
      <c r="H76" t="s">
        <v>408</v>
      </c>
    </row>
    <row r="77" spans="8:8" x14ac:dyDescent="0.25">
      <c r="H77" t="s">
        <v>178</v>
      </c>
    </row>
    <row r="78" spans="8:8" x14ac:dyDescent="0.25">
      <c r="H78" t="s">
        <v>119</v>
      </c>
    </row>
    <row r="79" spans="8:8" x14ac:dyDescent="0.25">
      <c r="H79" t="s">
        <v>561</v>
      </c>
    </row>
    <row r="80" spans="8:8" x14ac:dyDescent="0.25">
      <c r="H80" t="s">
        <v>452</v>
      </c>
    </row>
    <row r="81" spans="8:8" x14ac:dyDescent="0.25">
      <c r="H81" t="s">
        <v>166</v>
      </c>
    </row>
    <row r="82" spans="8:8" x14ac:dyDescent="0.25">
      <c r="H82" t="s">
        <v>573</v>
      </c>
    </row>
    <row r="83" spans="8:8" x14ac:dyDescent="0.25">
      <c r="H83" t="s">
        <v>767</v>
      </c>
    </row>
    <row r="84" spans="8:8" x14ac:dyDescent="0.25">
      <c r="H84" t="s">
        <v>466</v>
      </c>
    </row>
    <row r="85" spans="8:8" x14ac:dyDescent="0.25">
      <c r="H85" t="s">
        <v>336</v>
      </c>
    </row>
    <row r="86" spans="8:8" x14ac:dyDescent="0.25">
      <c r="H86" t="s">
        <v>107</v>
      </c>
    </row>
    <row r="87" spans="8:8" x14ac:dyDescent="0.25">
      <c r="H87" t="s">
        <v>542</v>
      </c>
    </row>
    <row r="88" spans="8:8" x14ac:dyDescent="0.25">
      <c r="H88" t="s">
        <v>190</v>
      </c>
    </row>
    <row r="89" spans="8:8" x14ac:dyDescent="0.25">
      <c r="H89" t="s">
        <v>320</v>
      </c>
    </row>
    <row r="90" spans="8:8" x14ac:dyDescent="0.25">
      <c r="H90" t="s">
        <v>152</v>
      </c>
    </row>
    <row r="91" spans="8:8" x14ac:dyDescent="0.25">
      <c r="H91" t="s">
        <v>667</v>
      </c>
    </row>
    <row r="92" spans="8:8" x14ac:dyDescent="0.25">
      <c r="H92" t="s">
        <v>799</v>
      </c>
    </row>
    <row r="93" spans="8:8" x14ac:dyDescent="0.25">
      <c r="H93" t="s">
        <v>371</v>
      </c>
    </row>
    <row r="94" spans="8:8" x14ac:dyDescent="0.25">
      <c r="H94" t="s">
        <v>271</v>
      </c>
    </row>
    <row r="95" spans="8:8" x14ac:dyDescent="0.25">
      <c r="H95" t="s">
        <v>198</v>
      </c>
    </row>
    <row r="96" spans="8:8" x14ac:dyDescent="0.25">
      <c r="H96" t="s">
        <v>293</v>
      </c>
    </row>
    <row r="97" spans="8:8" x14ac:dyDescent="0.25">
      <c r="H97" t="s">
        <v>236</v>
      </c>
    </row>
    <row r="98" spans="8:8" x14ac:dyDescent="0.25">
      <c r="H98" t="s">
        <v>567</v>
      </c>
    </row>
    <row r="99" spans="8:8" x14ac:dyDescent="0.25">
      <c r="H99" t="s">
        <v>130</v>
      </c>
    </row>
    <row r="100" spans="8:8" x14ac:dyDescent="0.25">
      <c r="H100" t="s">
        <v>138</v>
      </c>
    </row>
    <row r="101" spans="8:8" x14ac:dyDescent="0.25">
      <c r="H101" t="s">
        <v>248</v>
      </c>
    </row>
    <row r="102" spans="8:8" x14ac:dyDescent="0.25">
      <c r="H102" t="s">
        <v>146</v>
      </c>
    </row>
    <row r="103" spans="8:8" x14ac:dyDescent="0.25">
      <c r="H103" t="s">
        <v>402</v>
      </c>
    </row>
    <row r="104" spans="8:8" x14ac:dyDescent="0.25">
      <c r="H104" t="s">
        <v>53</v>
      </c>
    </row>
    <row r="105" spans="8:8" x14ac:dyDescent="0.25">
      <c r="H105" t="s">
        <v>363</v>
      </c>
    </row>
  </sheetData>
  <mergeCells count="10">
    <mergeCell ref="A1:F1"/>
    <mergeCell ref="A31:F31"/>
    <mergeCell ref="A35:F35"/>
    <mergeCell ref="D3:F3"/>
    <mergeCell ref="A34:F34"/>
    <mergeCell ref="A37:F37"/>
    <mergeCell ref="A33:F33"/>
    <mergeCell ref="A32:F32"/>
    <mergeCell ref="A36:F36"/>
    <mergeCell ref="A13:F13"/>
  </mergeCells>
  <dataValidations disablePrompts="1" count="3">
    <dataValidation type="list" sqref="B6">
      <formula1>$J$1:$J$3</formula1>
    </dataValidation>
    <dataValidation type="list" sqref="B5">
      <formula1>$I$1:$I$5</formula1>
    </dataValidation>
    <dataValidation type="list" sqref="B4">
      <formula1>$H$1:$H$105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/>
  </sheetViews>
  <sheetFormatPr defaultRowHeight="15" x14ac:dyDescent="0.25"/>
  <cols>
    <col min="1" max="1" width="14" customWidth="1"/>
    <col min="2" max="2" width="34" customWidth="1"/>
    <col min="3" max="5" width="14" customWidth="1"/>
  </cols>
  <sheetData>
    <row r="1" spans="1:5" x14ac:dyDescent="0.25">
      <c r="A1" t="s">
        <v>115</v>
      </c>
      <c r="B1" t="s">
        <v>116</v>
      </c>
      <c r="D1" t="s">
        <v>42</v>
      </c>
      <c r="E1" t="s">
        <v>36</v>
      </c>
    </row>
    <row r="2" spans="1:5" x14ac:dyDescent="0.25">
      <c r="A2" t="s">
        <v>549</v>
      </c>
      <c r="B2" t="s">
        <v>116</v>
      </c>
      <c r="D2" t="s">
        <v>49</v>
      </c>
      <c r="E2" t="s">
        <v>43</v>
      </c>
    </row>
    <row r="3" spans="1:5" x14ac:dyDescent="0.25">
      <c r="A3" t="s">
        <v>123</v>
      </c>
      <c r="B3" t="s">
        <v>116</v>
      </c>
      <c r="D3" t="s">
        <v>55</v>
      </c>
      <c r="E3" t="s">
        <v>79</v>
      </c>
    </row>
    <row r="4" spans="1:5" x14ac:dyDescent="0.25">
      <c r="A4" t="s">
        <v>346</v>
      </c>
      <c r="B4" t="s">
        <v>347</v>
      </c>
      <c r="D4" t="s">
        <v>68</v>
      </c>
    </row>
    <row r="5" spans="1:5" x14ac:dyDescent="0.25">
      <c r="A5" t="s">
        <v>170</v>
      </c>
      <c r="B5" t="s">
        <v>171</v>
      </c>
      <c r="D5" t="s">
        <v>35</v>
      </c>
    </row>
    <row r="6" spans="1:5" x14ac:dyDescent="0.25">
      <c r="A6" t="s">
        <v>554</v>
      </c>
      <c r="B6" t="s">
        <v>555</v>
      </c>
    </row>
    <row r="7" spans="1:5" x14ac:dyDescent="0.25">
      <c r="A7" t="s">
        <v>332</v>
      </c>
      <c r="B7" t="s">
        <v>333</v>
      </c>
    </row>
    <row r="8" spans="1:5" x14ac:dyDescent="0.25">
      <c r="A8" t="s">
        <v>297</v>
      </c>
      <c r="B8" t="s">
        <v>298</v>
      </c>
    </row>
    <row r="9" spans="1:5" x14ac:dyDescent="0.25">
      <c r="A9" t="s">
        <v>186</v>
      </c>
      <c r="B9" t="s">
        <v>187</v>
      </c>
    </row>
    <row r="10" spans="1:5" x14ac:dyDescent="0.25">
      <c r="A10" t="s">
        <v>224</v>
      </c>
      <c r="B10" t="s">
        <v>225</v>
      </c>
    </row>
    <row r="11" spans="1:5" x14ac:dyDescent="0.25">
      <c r="A11" t="s">
        <v>103</v>
      </c>
      <c r="B11" t="s">
        <v>104</v>
      </c>
    </row>
    <row r="12" spans="1:5" x14ac:dyDescent="0.25">
      <c r="A12" t="s">
        <v>355</v>
      </c>
      <c r="B12" t="s">
        <v>356</v>
      </c>
    </row>
    <row r="13" spans="1:5" x14ac:dyDescent="0.25">
      <c r="A13" t="s">
        <v>174</v>
      </c>
      <c r="B13" t="s">
        <v>175</v>
      </c>
    </row>
    <row r="14" spans="1:5" x14ac:dyDescent="0.25">
      <c r="A14" t="s">
        <v>95</v>
      </c>
      <c r="B14" t="s">
        <v>96</v>
      </c>
    </row>
    <row r="15" spans="1:5" x14ac:dyDescent="0.25">
      <c r="A15" t="s">
        <v>448</v>
      </c>
      <c r="B15" t="s">
        <v>449</v>
      </c>
    </row>
    <row r="16" spans="1:5" x14ac:dyDescent="0.25">
      <c r="A16" t="s">
        <v>208</v>
      </c>
      <c r="B16" t="s">
        <v>209</v>
      </c>
    </row>
    <row r="17" spans="1:2" x14ac:dyDescent="0.25">
      <c r="A17" t="s">
        <v>737</v>
      </c>
      <c r="B17" t="s">
        <v>738</v>
      </c>
    </row>
    <row r="18" spans="1:2" x14ac:dyDescent="0.25">
      <c r="A18" t="s">
        <v>287</v>
      </c>
      <c r="B18" t="s">
        <v>288</v>
      </c>
    </row>
    <row r="19" spans="1:2" x14ac:dyDescent="0.25">
      <c r="A19" t="s">
        <v>783</v>
      </c>
      <c r="B19" t="s">
        <v>784</v>
      </c>
    </row>
    <row r="20" spans="1:2" x14ac:dyDescent="0.25">
      <c r="A20" t="s">
        <v>134</v>
      </c>
      <c r="B20" t="s">
        <v>135</v>
      </c>
    </row>
    <row r="21" spans="1:2" x14ac:dyDescent="0.25">
      <c r="A21" t="s">
        <v>309</v>
      </c>
      <c r="B21" t="s">
        <v>135</v>
      </c>
    </row>
    <row r="22" spans="1:2" x14ac:dyDescent="0.25">
      <c r="A22" t="s">
        <v>193</v>
      </c>
      <c r="B22" t="s">
        <v>135</v>
      </c>
    </row>
    <row r="23" spans="1:2" x14ac:dyDescent="0.25">
      <c r="A23" t="s">
        <v>359</v>
      </c>
      <c r="B23" t="s">
        <v>360</v>
      </c>
    </row>
    <row r="24" spans="1:2" x14ac:dyDescent="0.25">
      <c r="A24" t="s">
        <v>182</v>
      </c>
      <c r="B24" t="s">
        <v>183</v>
      </c>
    </row>
    <row r="25" spans="1:2" x14ac:dyDescent="0.25">
      <c r="A25" t="s">
        <v>398</v>
      </c>
      <c r="B25" t="s">
        <v>399</v>
      </c>
    </row>
    <row r="26" spans="1:2" x14ac:dyDescent="0.25">
      <c r="A26" t="s">
        <v>220</v>
      </c>
      <c r="B26" t="s">
        <v>221</v>
      </c>
    </row>
    <row r="27" spans="1:2" x14ac:dyDescent="0.25">
      <c r="A27" t="s">
        <v>72</v>
      </c>
      <c r="B27" t="s">
        <v>73</v>
      </c>
    </row>
    <row r="28" spans="1:2" x14ac:dyDescent="0.25">
      <c r="A28" t="s">
        <v>312</v>
      </c>
      <c r="B28" t="s">
        <v>313</v>
      </c>
    </row>
    <row r="29" spans="1:2" x14ac:dyDescent="0.25">
      <c r="A29" t="s">
        <v>66</v>
      </c>
      <c r="B29" t="s">
        <v>67</v>
      </c>
    </row>
    <row r="30" spans="1:2" x14ac:dyDescent="0.25">
      <c r="A30" t="s">
        <v>303</v>
      </c>
      <c r="B30" t="s">
        <v>304</v>
      </c>
    </row>
    <row r="31" spans="1:2" x14ac:dyDescent="0.25">
      <c r="A31" t="s">
        <v>77</v>
      </c>
      <c r="B31" t="s">
        <v>78</v>
      </c>
    </row>
    <row r="32" spans="1:2" x14ac:dyDescent="0.25">
      <c r="A32" t="s">
        <v>528</v>
      </c>
      <c r="B32" t="s">
        <v>529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204</v>
      </c>
      <c r="B34" t="s">
        <v>205</v>
      </c>
    </row>
    <row r="35" spans="1:2" x14ac:dyDescent="0.25">
      <c r="A35" t="s">
        <v>160</v>
      </c>
      <c r="B35" t="s">
        <v>161</v>
      </c>
    </row>
    <row r="36" spans="1:2" x14ac:dyDescent="0.25">
      <c r="A36" t="s">
        <v>1033</v>
      </c>
      <c r="B36" t="s">
        <v>1034</v>
      </c>
    </row>
    <row r="37" spans="1:2" x14ac:dyDescent="0.25">
      <c r="A37" t="s">
        <v>40</v>
      </c>
      <c r="B37" t="s">
        <v>41</v>
      </c>
    </row>
    <row r="38" spans="1:2" x14ac:dyDescent="0.25">
      <c r="A38" t="s">
        <v>261</v>
      </c>
      <c r="B38" t="s">
        <v>262</v>
      </c>
    </row>
    <row r="39" spans="1:2" x14ac:dyDescent="0.25">
      <c r="A39" t="s">
        <v>99</v>
      </c>
      <c r="B39" t="s">
        <v>100</v>
      </c>
    </row>
    <row r="40" spans="1:2" x14ac:dyDescent="0.25">
      <c r="A40" t="s">
        <v>352</v>
      </c>
      <c r="B40" t="s">
        <v>157</v>
      </c>
    </row>
    <row r="41" spans="1:2" x14ac:dyDescent="0.25">
      <c r="A41" t="s">
        <v>156</v>
      </c>
      <c r="B41" t="s">
        <v>157</v>
      </c>
    </row>
    <row r="42" spans="1:2" x14ac:dyDescent="0.25">
      <c r="A42" t="s">
        <v>254</v>
      </c>
      <c r="B42" t="s">
        <v>157</v>
      </c>
    </row>
    <row r="43" spans="1:2" x14ac:dyDescent="0.25">
      <c r="A43" t="s">
        <v>228</v>
      </c>
      <c r="B43" t="s">
        <v>229</v>
      </c>
    </row>
    <row r="44" spans="1:2" x14ac:dyDescent="0.25">
      <c r="A44" t="s">
        <v>599</v>
      </c>
      <c r="B44" t="s">
        <v>600</v>
      </c>
    </row>
    <row r="45" spans="1:2" x14ac:dyDescent="0.25">
      <c r="A45" t="s">
        <v>516</v>
      </c>
      <c r="B45" t="s">
        <v>517</v>
      </c>
    </row>
    <row r="46" spans="1:2" x14ac:dyDescent="0.25">
      <c r="A46" t="s">
        <v>440</v>
      </c>
      <c r="B46" t="s">
        <v>441</v>
      </c>
    </row>
    <row r="47" spans="1:2" x14ac:dyDescent="0.25">
      <c r="A47" t="s">
        <v>111</v>
      </c>
      <c r="B47" t="s">
        <v>112</v>
      </c>
    </row>
    <row r="48" spans="1:2" x14ac:dyDescent="0.25">
      <c r="A48" t="s">
        <v>827</v>
      </c>
      <c r="B48" t="s">
        <v>828</v>
      </c>
    </row>
    <row r="49" spans="1:2" x14ac:dyDescent="0.25">
      <c r="A49" t="s">
        <v>82</v>
      </c>
      <c r="B49" t="s">
        <v>83</v>
      </c>
    </row>
    <row r="50" spans="1:2" x14ac:dyDescent="0.25">
      <c r="A50" t="s">
        <v>522</v>
      </c>
      <c r="B50" t="s">
        <v>523</v>
      </c>
    </row>
    <row r="51" spans="1:2" x14ac:dyDescent="0.25">
      <c r="A51" t="s">
        <v>275</v>
      </c>
      <c r="B51" t="s">
        <v>276</v>
      </c>
    </row>
    <row r="52" spans="1:2" x14ac:dyDescent="0.25">
      <c r="A52" t="s">
        <v>86</v>
      </c>
      <c r="B52" t="s">
        <v>87</v>
      </c>
    </row>
    <row r="53" spans="1:2" x14ac:dyDescent="0.25">
      <c r="A53" t="s">
        <v>841</v>
      </c>
      <c r="B53" t="s">
        <v>842</v>
      </c>
    </row>
    <row r="54" spans="1:2" x14ac:dyDescent="0.25">
      <c r="A54" t="s">
        <v>999</v>
      </c>
      <c r="B54" t="s">
        <v>1000</v>
      </c>
    </row>
    <row r="55" spans="1:2" x14ac:dyDescent="0.25">
      <c r="A55" t="s">
        <v>917</v>
      </c>
      <c r="B55" t="s">
        <v>918</v>
      </c>
    </row>
    <row r="56" spans="1:2" x14ac:dyDescent="0.25">
      <c r="A56" t="s">
        <v>751</v>
      </c>
      <c r="B56" t="s">
        <v>752</v>
      </c>
    </row>
    <row r="57" spans="1:2" x14ac:dyDescent="0.25">
      <c r="A57" t="s">
        <v>33</v>
      </c>
      <c r="B57" t="s">
        <v>34</v>
      </c>
    </row>
    <row r="58" spans="1:2" x14ac:dyDescent="0.25">
      <c r="A58" t="s">
        <v>869</v>
      </c>
      <c r="B58" t="s">
        <v>870</v>
      </c>
    </row>
    <row r="59" spans="1:2" x14ac:dyDescent="0.25">
      <c r="A59" t="s">
        <v>58</v>
      </c>
      <c r="B59" t="s">
        <v>59</v>
      </c>
    </row>
    <row r="60" spans="1:2" x14ac:dyDescent="0.25">
      <c r="A60" t="s">
        <v>558</v>
      </c>
      <c r="B60" t="s">
        <v>143</v>
      </c>
    </row>
    <row r="61" spans="1:2" x14ac:dyDescent="0.25">
      <c r="A61" t="s">
        <v>142</v>
      </c>
      <c r="B61" t="s">
        <v>143</v>
      </c>
    </row>
    <row r="62" spans="1:2" x14ac:dyDescent="0.25">
      <c r="A62" t="s">
        <v>395</v>
      </c>
      <c r="B62" t="s">
        <v>143</v>
      </c>
    </row>
    <row r="63" spans="1:2" x14ac:dyDescent="0.25">
      <c r="A63" t="s">
        <v>257</v>
      </c>
      <c r="B63" t="s">
        <v>258</v>
      </c>
    </row>
    <row r="64" spans="1:2" x14ac:dyDescent="0.25">
      <c r="A64" t="s">
        <v>342</v>
      </c>
      <c r="B64" t="s">
        <v>343</v>
      </c>
    </row>
    <row r="65" spans="1:2" x14ac:dyDescent="0.25">
      <c r="A65" t="s">
        <v>953</v>
      </c>
      <c r="B65" t="s">
        <v>954</v>
      </c>
    </row>
    <row r="66" spans="1:2" x14ac:dyDescent="0.25">
      <c r="A66" t="s">
        <v>685</v>
      </c>
      <c r="B66" t="s">
        <v>686</v>
      </c>
    </row>
    <row r="67" spans="1:2" x14ac:dyDescent="0.25">
      <c r="A67" t="s">
        <v>216</v>
      </c>
      <c r="B67" t="s">
        <v>217</v>
      </c>
    </row>
    <row r="68" spans="1:2" x14ac:dyDescent="0.25">
      <c r="A68" t="s">
        <v>324</v>
      </c>
      <c r="B68" t="s">
        <v>325</v>
      </c>
    </row>
    <row r="69" spans="1:2" x14ac:dyDescent="0.25">
      <c r="A69" t="s">
        <v>47</v>
      </c>
      <c r="B69" t="s">
        <v>48</v>
      </c>
    </row>
    <row r="70" spans="1:2" x14ac:dyDescent="0.25">
      <c r="A70" t="s">
        <v>408</v>
      </c>
      <c r="B70" t="s">
        <v>409</v>
      </c>
    </row>
    <row r="71" spans="1:2" x14ac:dyDescent="0.25">
      <c r="A71" t="s">
        <v>178</v>
      </c>
      <c r="B71" t="s">
        <v>179</v>
      </c>
    </row>
    <row r="72" spans="1:2" x14ac:dyDescent="0.25">
      <c r="A72" t="s">
        <v>119</v>
      </c>
      <c r="B72" t="s">
        <v>120</v>
      </c>
    </row>
    <row r="73" spans="1:2" x14ac:dyDescent="0.25">
      <c r="A73" t="s">
        <v>561</v>
      </c>
      <c r="B73" t="s">
        <v>562</v>
      </c>
    </row>
    <row r="74" spans="1:2" x14ac:dyDescent="0.25">
      <c r="A74" t="s">
        <v>452</v>
      </c>
      <c r="B74" t="s">
        <v>453</v>
      </c>
    </row>
    <row r="75" spans="1:2" x14ac:dyDescent="0.25">
      <c r="A75" t="s">
        <v>166</v>
      </c>
      <c r="B75" t="s">
        <v>167</v>
      </c>
    </row>
    <row r="76" spans="1:2" x14ac:dyDescent="0.25">
      <c r="A76" t="s">
        <v>573</v>
      </c>
      <c r="B76" t="s">
        <v>574</v>
      </c>
    </row>
    <row r="77" spans="1:2" x14ac:dyDescent="0.25">
      <c r="A77" t="s">
        <v>767</v>
      </c>
      <c r="B77" t="s">
        <v>768</v>
      </c>
    </row>
    <row r="78" spans="1:2" x14ac:dyDescent="0.25">
      <c r="A78" t="s">
        <v>466</v>
      </c>
      <c r="B78" t="s">
        <v>467</v>
      </c>
    </row>
    <row r="79" spans="1:2" x14ac:dyDescent="0.25">
      <c r="A79" t="s">
        <v>336</v>
      </c>
      <c r="B79" t="s">
        <v>337</v>
      </c>
    </row>
    <row r="80" spans="1:2" x14ac:dyDescent="0.25">
      <c r="A80" t="s">
        <v>107</v>
      </c>
      <c r="B80" t="s">
        <v>108</v>
      </c>
    </row>
    <row r="81" spans="1:2" x14ac:dyDescent="0.25">
      <c r="A81" t="s">
        <v>542</v>
      </c>
      <c r="B81" t="s">
        <v>108</v>
      </c>
    </row>
    <row r="82" spans="1:2" x14ac:dyDescent="0.25">
      <c r="A82" t="s">
        <v>190</v>
      </c>
      <c r="B82" t="s">
        <v>108</v>
      </c>
    </row>
    <row r="83" spans="1:2" x14ac:dyDescent="0.25">
      <c r="A83" t="s">
        <v>320</v>
      </c>
      <c r="B83" t="s">
        <v>321</v>
      </c>
    </row>
    <row r="84" spans="1:2" x14ac:dyDescent="0.25">
      <c r="A84" t="s">
        <v>152</v>
      </c>
      <c r="B84" t="s">
        <v>153</v>
      </c>
    </row>
    <row r="85" spans="1:2" x14ac:dyDescent="0.25">
      <c r="A85" t="s">
        <v>667</v>
      </c>
      <c r="B85" t="s">
        <v>668</v>
      </c>
    </row>
    <row r="86" spans="1:2" x14ac:dyDescent="0.25">
      <c r="A86" t="s">
        <v>799</v>
      </c>
      <c r="B86" t="s">
        <v>800</v>
      </c>
    </row>
    <row r="87" spans="1:2" x14ac:dyDescent="0.25">
      <c r="A87" t="s">
        <v>371</v>
      </c>
      <c r="B87" t="s">
        <v>372</v>
      </c>
    </row>
    <row r="88" spans="1:2" x14ac:dyDescent="0.25">
      <c r="A88" t="s">
        <v>271</v>
      </c>
      <c r="B88" t="s">
        <v>272</v>
      </c>
    </row>
    <row r="89" spans="1:2" x14ac:dyDescent="0.25">
      <c r="A89" t="s">
        <v>198</v>
      </c>
      <c r="B89" t="s">
        <v>199</v>
      </c>
    </row>
    <row r="90" spans="1:2" x14ac:dyDescent="0.25">
      <c r="A90" t="s">
        <v>293</v>
      </c>
      <c r="B90" t="s">
        <v>294</v>
      </c>
    </row>
    <row r="91" spans="1:2" x14ac:dyDescent="0.25">
      <c r="A91" t="s">
        <v>236</v>
      </c>
      <c r="B91" t="s">
        <v>237</v>
      </c>
    </row>
    <row r="92" spans="1:2" x14ac:dyDescent="0.25">
      <c r="A92" t="s">
        <v>567</v>
      </c>
      <c r="B92" t="s">
        <v>568</v>
      </c>
    </row>
    <row r="93" spans="1:2" x14ac:dyDescent="0.25">
      <c r="A93" t="s">
        <v>130</v>
      </c>
      <c r="B93" t="s">
        <v>131</v>
      </c>
    </row>
    <row r="94" spans="1:2" x14ac:dyDescent="0.25">
      <c r="A94" t="s">
        <v>138</v>
      </c>
      <c r="B94" t="s">
        <v>139</v>
      </c>
    </row>
    <row r="95" spans="1:2" x14ac:dyDescent="0.25">
      <c r="A95" t="s">
        <v>248</v>
      </c>
      <c r="B95" t="s">
        <v>249</v>
      </c>
    </row>
    <row r="96" spans="1:2" x14ac:dyDescent="0.25">
      <c r="A96" t="s">
        <v>146</v>
      </c>
      <c r="B96" t="s">
        <v>147</v>
      </c>
    </row>
    <row r="97" spans="1:2" x14ac:dyDescent="0.25">
      <c r="A97" t="s">
        <v>402</v>
      </c>
      <c r="B97" t="s">
        <v>403</v>
      </c>
    </row>
    <row r="98" spans="1:2" x14ac:dyDescent="0.25">
      <c r="A98" t="s">
        <v>53</v>
      </c>
      <c r="B98" t="s">
        <v>54</v>
      </c>
    </row>
    <row r="99" spans="1:2" x14ac:dyDescent="0.25">
      <c r="A99" t="s">
        <v>363</v>
      </c>
      <c r="B99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Workforce_Data</vt:lpstr>
      <vt:lpstr>Methodology</vt:lpstr>
      <vt:lpstr>Benchmark_Master</vt:lpstr>
      <vt:lpstr>Historical_Summary</vt:lpstr>
      <vt:lpstr>Product_Summary</vt:lpstr>
      <vt:lpstr>Manpower_Calculator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Cyrax</cp:lastModifiedBy>
  <dcterms:created xsi:type="dcterms:W3CDTF">2026-09-12T02:31:42Z</dcterms:created>
  <dcterms:modified xsi:type="dcterms:W3CDTF">2026-09-14T04:10:29Z</dcterms:modified>
</cp:coreProperties>
</file>